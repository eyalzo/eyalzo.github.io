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<sst xmlns="http://schemas.openxmlformats.org/spreadsheetml/2006/main" count="1100" uniqueCount="331">
  <si>
    <t xml:space="preserve">מספר כנסת</t>
  </si>
  <si>
    <t xml:space="preserve">תקופה</t>
  </si>
  <si>
    <t xml:space="preserve">קישור</t>
  </si>
  <si>
    <t xml:space="preserve">שם</t>
  </si>
  <si>
    <t xml:space="preserve">תוקף</t>
  </si>
  <si>
    <t xml:space="preserve">שר או שרה ממונה</t>
  </si>
  <si>
    <t xml:space="preserve">ועדה מטפלת</t>
  </si>
  <si>
    <t xml:space="preserve">פרסום ברשומות</t>
  </si>
  <si>
    <t xml:space="preserve"/>
  </si>
  <si>
    <t xml:space="preserve">חוק הכרה בתרומתם של כלבים ששירתו בגופים ביטחוניים, התשפ"ו–2026</t>
  </si>
  <si>
    <t xml:space="preserve">תקף</t>
  </si>
  <si>
    <t xml:space="preserve">ועדת החוץ והביטחון</t>
  </si>
  <si>
    <t xml:space="preserve">10.06.2026</t>
  </si>
  <si>
    <t xml:space="preserve">חוק הכרה בשפת הסימנים הישראלית, התשפ"ו-2026</t>
  </si>
  <si>
    <t xml:space="preserve"> התרבות והספורט</t>
  </si>
  <si>
    <t xml:space="preserve">ועדת החינוך התרבות והספורט</t>
  </si>
  <si>
    <t xml:space="preserve">09.06.2026</t>
  </si>
  <si>
    <t xml:space="preserve">חוק הטבות מס ליישוב אזור קו עימות מזרחי (הוראת שעה), התשפ"ו–2026</t>
  </si>
  <si>
    <t xml:space="preserve"> האוצר</t>
  </si>
  <si>
    <t xml:space="preserve">ועדת הכספים</t>
  </si>
  <si>
    <t xml:space="preserve">08.06.2026</t>
  </si>
  <si>
    <t xml:space="preserve">חוק סיוע לבני משפחה של נעדרים, התשפ"ו–2026</t>
  </si>
  <si>
    <t xml:space="preserve"> העבודה</t>
  </si>
  <si>
    <t xml:space="preserve">הוועדה לביטחון לאומי</t>
  </si>
  <si>
    <t xml:space="preserve">24.05.2026</t>
  </si>
  <si>
    <t xml:space="preserve">חוק העמדה לדין בשל אירועי טבח 7 באוקטובר 2023 (טבח שמיני עצרת), התשפ"ו–2026</t>
  </si>
  <si>
    <t xml:space="preserve"> הביטחון</t>
  </si>
  <si>
    <t xml:space="preserve">ועדת החוקה, חוק ומשפט</t>
  </si>
  <si>
    <t xml:space="preserve">13.05.2026</t>
  </si>
  <si>
    <t xml:space="preserve">חוק חובת דיווח על מלאי מזון לבעלי חיים ומלאי חיטה לשם היערכות למחסור משמעותי, התשפ"ו-2026</t>
  </si>
  <si>
    <t xml:space="preserve"> החקלאות ופיתוח הכפר</t>
  </si>
  <si>
    <t xml:space="preserve">29.04.2026</t>
  </si>
  <si>
    <t xml:space="preserve">חוק שיקום נזקי מלחמה בדרך של התחדשות עירונית, התשפ"ו-2026</t>
  </si>
  <si>
    <t xml:space="preserve"> האוצר | הבינוי והשיכון | המשפטים | הפנים</t>
  </si>
  <si>
    <t xml:space="preserve">ועדת הפנים והגנת הסביבה</t>
  </si>
  <si>
    <t xml:space="preserve">05.04.2026</t>
  </si>
  <si>
    <t xml:space="preserve">חוק עונש מוות למחבלים, התשפ"ו-2026</t>
  </si>
  <si>
    <t xml:space="preserve"> ביטחון לאומי | הביטחון | המשפטים</t>
  </si>
  <si>
    <t xml:space="preserve">חוק עידוד יישוב עירוני מעורב (הוראת שעה), התשפ"ו–2026</t>
  </si>
  <si>
    <t xml:space="preserve">31.03.2026</t>
  </si>
  <si>
    <t xml:space="preserve">חוק התוכנית לסיוע כלכלי (הוראת שעה) (תעסוקה), התשפ"ו-2026</t>
  </si>
  <si>
    <t xml:space="preserve"> האוצר | העבודה</t>
  </si>
  <si>
    <t xml:space="preserve">ועדת העבודה והרווחה</t>
  </si>
  <si>
    <t xml:space="preserve">חוק ההתייעלות הכלכלית (תיקוני חקיקה להשגת יעדי התקציב לשנת התקציב 2026), התשפ"ו-2026</t>
  </si>
  <si>
    <t xml:space="preserve">חוק התחשבנות בין בתי חולים לקופות חולים לשנים 2026 עד 2030 (התחשבנות בעד שירותי בריאות בבתי חולים ציבוריים כלליים), התשפ"ו-2026</t>
  </si>
  <si>
    <t xml:space="preserve"> האוצר | הבריאות</t>
  </si>
  <si>
    <t xml:space="preserve">ועדת הבריאות</t>
  </si>
  <si>
    <t xml:space="preserve">חוק עידוד עלייה לישראל וחזרה אליה (הוראת שעה), התשפ"ו-2026</t>
  </si>
  <si>
    <t xml:space="preserve">חוק התוכנית הכלכלית (תיקוני חקיקה ליישום המדיניות הכלכלית לשנת התקציב 2026), התשפ"ו-2026</t>
  </si>
  <si>
    <t xml:space="preserve">חוק לקידום התחרות בשוק הבנקאות (תיקוני חקיקה), התשפ"ו-2026</t>
  </si>
  <si>
    <t xml:space="preserve">חוק לעידוד ולתמרוץ מחקר ופיתוח, התשפ"ו-2026</t>
  </si>
  <si>
    <t xml:space="preserve">חוק להסדרת אירוע הילולת רבי שמעון בר יוחאי בהר מירון (הוראת שעה), התשפ"ו–2026</t>
  </si>
  <si>
    <t xml:space="preserve"> הממשלה</t>
  </si>
  <si>
    <t xml:space="preserve">חוק שיפוט בתי דין דתיים (בוררות), התשפ"ו–2026</t>
  </si>
  <si>
    <t xml:space="preserve"> המשפטים</t>
  </si>
  <si>
    <t xml:space="preserve">26.03.2026</t>
  </si>
  <si>
    <t xml:space="preserve">חוק קיום דיונים בהיוועדות חזותית בעת הכרזה על הגבלה (עצורים, אסירים וכלואים) (הוראת שעה), התשפ"ו-2026</t>
  </si>
  <si>
    <t xml:space="preserve"> ביטחון לאומי | המשפטים</t>
  </si>
  <si>
    <t xml:space="preserve">28.02.2026</t>
  </si>
  <si>
    <t xml:space="preserve">חוק יום הוקרה ממלכתי לפצועי מערכות ישראל ונפגעי פעולות איבה, התשפ"ו–2026</t>
  </si>
  <si>
    <t xml:space="preserve">18.01.2026</t>
  </si>
  <si>
    <t xml:space="preserve">חוק מס חברות מזערי בקבוצה רב־לאומית, התשפ"ו-2025</t>
  </si>
  <si>
    <t xml:space="preserve">31.12.2025</t>
  </si>
  <si>
    <t xml:space="preserve">חוק מניעת פגיעת גוף שידורים זר בביטחון המדינה (הוראת שעה), התשפ"ו–2025</t>
  </si>
  <si>
    <t xml:space="preserve"> ראש הממשלה</t>
  </si>
  <si>
    <t xml:space="preserve">23.12.2025</t>
  </si>
  <si>
    <t xml:space="preserve">חוק המרכז להנצחת זכרו של דוד לוי, התשפ"ה–2025</t>
  </si>
  <si>
    <t xml:space="preserve"> החוץ</t>
  </si>
  <si>
    <t xml:space="preserve">06.07.2025</t>
  </si>
  <si>
    <t xml:space="preserve">חוק אסטרטגיית הביטחון הלאומי, התשפ"ה–2025</t>
  </si>
  <si>
    <t xml:space="preserve">11.06.2025</t>
  </si>
  <si>
    <t xml:space="preserve">תקציב המדינה לשנת הכספים 2025</t>
  </si>
  <si>
    <t xml:space="preserve">22.04.2025</t>
  </si>
  <si>
    <t xml:space="preserve">חוק הרשות הלאומית למאבק בעוני, התשפ"ה-2025</t>
  </si>
  <si>
    <t xml:space="preserve"> הרווחה והביטחון החברתי</t>
  </si>
  <si>
    <t xml:space="preserve">03.04.2025</t>
  </si>
  <si>
    <t xml:space="preserve">חוק להסדרת אירוע הילולת רבי שמעון בר יוחאי בהר מירון (הוראת שעה), התשפ"ה-2025 </t>
  </si>
  <si>
    <t xml:space="preserve">פקע</t>
  </si>
  <si>
    <t xml:space="preserve"> לירושלים ומסורת ישראל</t>
  </si>
  <si>
    <t xml:space="preserve">02.04.2025</t>
  </si>
  <si>
    <t xml:space="preserve">חוק שיקום נרחב לחבל התקומה כאזור מיקוד לאומי וסיוע ליישובים הסמוכים אליו, התשפ"ה–2025 </t>
  </si>
  <si>
    <t xml:space="preserve">ועדת הכלכלה</t>
  </si>
  <si>
    <t xml:space="preserve">חוק להשתתפותם של העובדים ובעלי תפקיד בשירות הציבורי, בצעדים לייצוב המצב הפיסקלי במדינה במהלך השנים 2025 ו־2026 (הוראת שעה), התשפ"ה-2025</t>
  </si>
  <si>
    <t xml:space="preserve">27.03.2025</t>
  </si>
  <si>
    <t xml:space="preserve">חוק הקפאה והפחתה של דמי הבראה בשנת 2025, התשפ"ה-2025</t>
  </si>
  <si>
    <t xml:space="preserve">חוק להשגת יעדי התקציב וליישום המדיניות הכלכלית לשנת התקציב 2025 (תיקוני חקיקה), התשפ"ה–2025</t>
  </si>
  <si>
    <t xml:space="preserve">חוק התחשבנות בין בתי חולים לקופות חולים (בריאות הנפש), התשפ"ה-2025</t>
  </si>
  <si>
    <t xml:space="preserve">24.03.2025</t>
  </si>
  <si>
    <t xml:space="preserve">חוק להסדרת מגורים בשטחי מרעה, התשפ"ה–2025</t>
  </si>
  <si>
    <t xml:space="preserve">19.03.2025</t>
  </si>
  <si>
    <t xml:space="preserve">חוק יום לציון מכתב 18 המשפחות היהודיות מגאורגיה, התשפ"ה–2025</t>
  </si>
  <si>
    <t xml:space="preserve"> המורשת</t>
  </si>
  <si>
    <t xml:space="preserve">26.02.2025</t>
  </si>
  <si>
    <t xml:space="preserve">חוק להסדרה של הצבת כוורות, האבקה וייצור דבש, התשפ"ה–2025</t>
  </si>
  <si>
    <t xml:space="preserve">23.02.2025</t>
  </si>
  <si>
    <t xml:space="preserve">חוק יום לציון עליית יהודי תימן לישראל ולהנצחת זכרם של הנספים בדרך לישראל, התשפ"ה–2025</t>
  </si>
  <si>
    <t xml:space="preserve">05.02.2025</t>
  </si>
  <si>
    <t xml:space="preserve">חוק להנצחת זכרו של מרן הרב עובדיה יוסף, התשפ"ה-2025</t>
  </si>
  <si>
    <t xml:space="preserve"> לשירותי דת</t>
  </si>
  <si>
    <t xml:space="preserve">29.01.2025</t>
  </si>
  <si>
    <t xml:space="preserve">חוק איסור הכחשת אירועי טבח 7 באוקטובר 2023 (טבח שמיני עצרת), התשפ"ה–2025</t>
  </si>
  <si>
    <t xml:space="preserve">22.01.2025</t>
  </si>
  <si>
    <t xml:space="preserve">חוק להנצחת זכרו של הרב חיים דרוקמן, התשפ"ה–2025</t>
  </si>
  <si>
    <t xml:space="preserve"> ההתיישבות והמשימות הלאומיות</t>
  </si>
  <si>
    <t xml:space="preserve">19.01.2025</t>
  </si>
  <si>
    <t xml:space="preserve">חוק הסדרת העיסוק בעבודה במערכת קירור או מיזוג אוויר, התשפ"ה-2025</t>
  </si>
  <si>
    <t xml:space="preserve">14.01.2025</t>
  </si>
  <si>
    <t xml:space="preserve">חוק ההתייעלות הכלכלית (תיקוני חקיקה להשגת יעדי התקציב לשנת התקציב 2025) (הקפאת שכר נושאי משרה ברשויות השלטון וברשויות מקומיות בשנת 2025), התשפ"ה–2024</t>
  </si>
  <si>
    <t xml:space="preserve">22.12.2024</t>
  </si>
  <si>
    <t xml:space="preserve">חוק הגנה על הציבור מפני ארגוני פשיעה, התשפ"ה-2024</t>
  </si>
  <si>
    <t xml:space="preserve"> ביטחון לאומי</t>
  </si>
  <si>
    <t xml:space="preserve">16.12.2024</t>
  </si>
  <si>
    <t xml:space="preserve">חוק מניעת מימון לייצוג משפטי בידי מדינת ישראל (חשוד, נאשם או מורשע בעבירת ביטחון - חרבות ברזל), התשפ"ה–2024</t>
  </si>
  <si>
    <t xml:space="preserve">חוק לתיקון דיני הבחירות לרשויות המקומיות (הוראת שעה), התשפ"ה-2024</t>
  </si>
  <si>
    <t xml:space="preserve"> הפנים</t>
  </si>
  <si>
    <t xml:space="preserve">13.11.2024</t>
  </si>
  <si>
    <t xml:space="preserve">חוק גירוש משפחות מחבלים, התשפ"ה–2024</t>
  </si>
  <si>
    <t xml:space="preserve">10.11.2024</t>
  </si>
  <si>
    <t xml:space="preserve">חוק להפסקת פעילות אונר"א, התשפ"ה-2024</t>
  </si>
  <si>
    <t xml:space="preserve">30.10.2024</t>
  </si>
  <si>
    <t xml:space="preserve">חוק להפסקת פעילות אונר"א בשטח מדינת ישראל, התשפ"ה-2024</t>
  </si>
  <si>
    <t xml:space="preserve">תקציב נוסף לשנת הכספים 2024 (מס' 2)</t>
  </si>
  <si>
    <t xml:space="preserve">30.09.2024</t>
  </si>
  <si>
    <t xml:space="preserve">חוק הפרות תעבורה מינהליות, התשפ"ד-2024</t>
  </si>
  <si>
    <t xml:space="preserve">07.08.2024</t>
  </si>
  <si>
    <t xml:space="preserve">חוק הספריות הציבוריות, התשפ"ד-2024 </t>
  </si>
  <si>
    <t xml:space="preserve">29.07.2024</t>
  </si>
  <si>
    <t xml:space="preserve">חוק נטילת אמצעי זיהוי ביומטריים מזרים, הפקת נתוני זיהוי ביומטריים ומאגר מידע, התשפ"ד-2024</t>
  </si>
  <si>
    <t xml:space="preserve">28.07.2024</t>
  </si>
  <si>
    <t xml:space="preserve">חוק הקמת מאגר מידע גנטי של כלבים, התשפ"ד–2024</t>
  </si>
  <si>
    <t xml:space="preserve">25.07.2024</t>
  </si>
  <si>
    <t xml:space="preserve">חוק יום בריאות הנפש, התשפ"ד-2024</t>
  </si>
  <si>
    <t xml:space="preserve"> הבריאות</t>
  </si>
  <si>
    <t xml:space="preserve">חוק ניוד מידע רפואי, התשפ"ד-2024</t>
  </si>
  <si>
    <t xml:space="preserve">24.07.2024</t>
  </si>
  <si>
    <t xml:space="preserve">חוק הגישה לתוכן דיגיטלי לאחר פטירתו של אדם, התשפ"ד–2024</t>
  </si>
  <si>
    <t xml:space="preserve">23.07.2024</t>
  </si>
  <si>
    <t xml:space="preserve">חוק מחיקת רישומים פליליים ומשטרתיים של יוצאי אתיופיה, התשפ"ד–2024</t>
  </si>
  <si>
    <t xml:space="preserve">18.07.2024</t>
  </si>
  <si>
    <t xml:space="preserve">חוק הגנה על זכויות בדירת המשפחה של ילד שהורהו הומת בידי בן זוגו, התשפ"ד-2024</t>
  </si>
  <si>
    <t xml:space="preserve">חוק יום לציון אירועי הפרהוד, התשפ"ד–2024</t>
  </si>
  <si>
    <t xml:space="preserve"> החינוך</t>
  </si>
  <si>
    <t xml:space="preserve">07.07.2024</t>
  </si>
  <si>
    <t xml:space="preserve">חוק הרשות לחקירה בטיחותית בתעופה, התשפ"ד-2024</t>
  </si>
  <si>
    <t xml:space="preserve"> התחבורה והבטיחות בדרכים</t>
  </si>
  <si>
    <t xml:space="preserve">04.07.2024</t>
  </si>
  <si>
    <t xml:space="preserve">חוק הרשויות המקומיות (מימון בחירות) (הוראת שעה), התשפ"ד–2024</t>
  </si>
  <si>
    <t xml:space="preserve">27.06.2024</t>
  </si>
  <si>
    <t xml:space="preserve">חוק יום האחדות, התשפ"ד-2024</t>
  </si>
  <si>
    <t xml:space="preserve">06.06.2024</t>
  </si>
  <si>
    <t xml:space="preserve">חוק להסדרת אירוע הילולת רבי שמעון בר יוחאי בהר מירון (הוראת שעה), התשפ"ד–2024 </t>
  </si>
  <si>
    <t xml:space="preserve">21.05.2024</t>
  </si>
  <si>
    <t xml:space="preserve">חוק מגבלות על חזרתו של מורשע במעשה טרור לסביבת נפגעי העבירה, התשפ"ד-2024</t>
  </si>
  <si>
    <t xml:space="preserve">04.04.2024</t>
  </si>
  <si>
    <t xml:space="preserve">חוק מניעת פגיעת גוף שידורים זר בביטחון המדינה (הוראת שעה – חרבות ברזל), התשפ"ד-2024</t>
  </si>
  <si>
    <t xml:space="preserve">02.04.2024</t>
  </si>
  <si>
    <t xml:space="preserve">חוק יום משפחות היתומים בישראל, התשפ"ד–2024</t>
  </si>
  <si>
    <t xml:space="preserve">21.03.2024</t>
  </si>
  <si>
    <t xml:space="preserve">תקציב נוסף לשנת הכספים 2024</t>
  </si>
  <si>
    <t xml:space="preserve">בטל</t>
  </si>
  <si>
    <t xml:space="preserve">חוק הקפאה והפחתה של דמי הבראה בשנת 2024 לשם תקצוב הטבות לחיילי מילואים, התשפ"ד-2024</t>
  </si>
  <si>
    <t xml:space="preserve">18.03.2024</t>
  </si>
  <si>
    <t xml:space="preserve">חוק תשלום מיוחד לשם השגת יעדי התקציב (הוראת שעה – חרבות ברזל), התשפ"ד–2024 </t>
  </si>
  <si>
    <t xml:space="preserve">17.03.2024</t>
  </si>
  <si>
    <t xml:space="preserve">חוק לפיצוי קורבנות טרור (פיצויים לדוגמה), התשפ"ד-2024</t>
  </si>
  <si>
    <t xml:space="preserve">12.03.2024</t>
  </si>
  <si>
    <t xml:space="preserve">חוק זכויות הדייר בדיור הציבורי (הוראת שעה – חרבות ברזל) (דייר ממשיך מיוחד), התשפ"ד-2024</t>
  </si>
  <si>
    <t xml:space="preserve"> הבינוי והשיכון</t>
  </si>
  <si>
    <t xml:space="preserve">28.02.2024</t>
  </si>
  <si>
    <t xml:space="preserve">חוק הבוררות המסחרית הבין-לאומית, התשפ"ד-2024</t>
  </si>
  <si>
    <t xml:space="preserve">14.02.2024</t>
  </si>
  <si>
    <t xml:space="preserve">חוק התמודדות עם תקיפות סייבר חמורות במגזר השירותים הדיגיטליים ושירותי האחסון (הוראת שעה), התשפ"ד-2023</t>
  </si>
  <si>
    <t xml:space="preserve">26.12.2023</t>
  </si>
  <si>
    <t xml:space="preserve">תקציב נוסף לשנת הכספים 2023</t>
  </si>
  <si>
    <t xml:space="preserve">נושן</t>
  </si>
  <si>
    <t xml:space="preserve">21.12.2023</t>
  </si>
  <si>
    <t xml:space="preserve">חוק קיום דיונים בהיוועדות חזותית בהשתתפות עצורים, אסירים וכלואים (הוראת שעה – חרבות ברזל), התשפ"ד-2023</t>
  </si>
  <si>
    <t xml:space="preserve">18.12.2023</t>
  </si>
  <si>
    <t xml:space="preserve">חוק הסמכת צבא הגנה לישראל ושירות הביטחון הכללי לביצוע חדירה לחומר מחשב המשמש להפעלת מצלמה נייחת ופעולה בו (הוראת שעה), התשפ"ד-2023</t>
  </si>
  <si>
    <t xml:space="preserve">07.12.2023</t>
  </si>
  <si>
    <t xml:space="preserve">חוק הארכת תקופות ודחיית מועדים (הוראת שעה – חרבות ברזל) (הליכי מס ומענקי סיוע), התשפ"ד-2023 </t>
  </si>
  <si>
    <t xml:space="preserve">28.11.2023</t>
  </si>
  <si>
    <t xml:space="preserve">חוק הארכת תקופות ודחיית מועדים (הוראת שעה – חרבות ברזל) (סדרי מינהל, תקופות כהונה ותאגידים), התשפ"ד-2023</t>
  </si>
  <si>
    <t xml:space="preserve">23.11.2023</t>
  </si>
  <si>
    <t xml:space="preserve">חוק הארכת תקופות ודחיית מועדים (הוראת שעה – חרבות ברזל) (תכנון ובנייה ומקרקעי ציבור), התשפ"ד-2023</t>
  </si>
  <si>
    <t xml:space="preserve">16.11.2023</t>
  </si>
  <si>
    <t xml:space="preserve">חוק הענקת אזרחות כבוד לחללי מערכות ישראל, התשפ"ד-2023</t>
  </si>
  <si>
    <t xml:space="preserve">חוק קיום דיונים בהיוועדות חזותית בהשתתפות עצורים ואסירים (הוראת שעה – חרבות ברזל), התשפ"ד-2023</t>
  </si>
  <si>
    <t xml:space="preserve">15.11.2023</t>
  </si>
  <si>
    <t xml:space="preserve">חוק חינוך מיוחד (הוראת שעה – חרבות ברזל) (הארכת זכאות), התשפ"ד-2023 </t>
  </si>
  <si>
    <t xml:space="preserve">14.11.2023</t>
  </si>
  <si>
    <t xml:space="preserve">חוק הארכת תקופות (הוראת שעה – חרבות ברזל) (אומנה לילדים), התשפ"ד-2023 </t>
  </si>
  <si>
    <t xml:space="preserve">חוק התוכנית לסיוע כלכלי (הוראת שעה – חרבות ברזל), התשפ"ד-2023</t>
  </si>
  <si>
    <t xml:space="preserve">09.11.2023</t>
  </si>
  <si>
    <t xml:space="preserve">חוק העברת מידע לצורך זיהוי או אימות זהות של אדם לרבות גופה, ואיתור נעדר או שבוי, הנדרשים בשל פעולות האיבה או פעולות המלחמה (הוראות שעה – חרבות ברזל), התשפ"ד-2023</t>
  </si>
  <si>
    <t xml:space="preserve"> ביטחון לאומי | הביטחון | הפנים</t>
  </si>
  <si>
    <t xml:space="preserve">ועדת  המדע  והטכנולוגיהשורהחדשהועדת החוקה, חוק ומשפטשורהחדשהועדת הפנים והגנת הסביבה</t>
  </si>
  <si>
    <t xml:space="preserve">08.11.2023</t>
  </si>
  <si>
    <t xml:space="preserve">תקנות שעת חירום (חרבות ברזל) (הארכת מעצר לחשוד בעבירת ביטחון), התשפ"ד-2023</t>
  </si>
  <si>
    <t xml:space="preserve">07.11.2023</t>
  </si>
  <si>
    <t xml:space="preserve">חוק תגמולים לבני משפחה של חטופים ונעדרים בפעולת איבה, התשפ"ד–2023</t>
  </si>
  <si>
    <t xml:space="preserve">חוק הגנה על מענקים מיוחדים (חרבות ברזל), התשפ"ד-2023</t>
  </si>
  <si>
    <t xml:space="preserve">02.11.2023</t>
  </si>
  <si>
    <t xml:space="preserve">חוק הארכת תקופות ודחיית מועדים (הוראת שעה – חרבות ברזל) (אישורים רגולטוריים, עיצומים כספיים ובדיקות מיתקני גז), התשפ"ד-2023</t>
  </si>
  <si>
    <t xml:space="preserve">25.10.2023</t>
  </si>
  <si>
    <t xml:space="preserve">חוק לדחיית הבחירות הכלליות לרשויות המקומיות, התשפ"ד-2023</t>
  </si>
  <si>
    <t xml:space="preserve"> הממשלה | הפנים</t>
  </si>
  <si>
    <t xml:space="preserve">24.10.2023</t>
  </si>
  <si>
    <t xml:space="preserve">חוק אמנת הבנק האסייני לפיתוח, התשפ"ד-2023</t>
  </si>
  <si>
    <t xml:space="preserve">חוק דחיית מועדים (הוראת שעה – חרבות ברזל) (חוזה, פסק דין או תשלום לרשות), התשפ"ד-2023</t>
  </si>
  <si>
    <t xml:space="preserve">18.10.2023</t>
  </si>
  <si>
    <t xml:space="preserve">תקנות שעת חירום (חרבות ברזל) (פגישה עם עורך דין של עצור בעבירת ביטחון), התשפ"ד-2023</t>
  </si>
  <si>
    <t xml:space="preserve">24.09.2023</t>
  </si>
  <si>
    <t xml:space="preserve">תקציב המדינה לשנת הכספים 2024</t>
  </si>
  <si>
    <t xml:space="preserve">07.08.2023</t>
  </si>
  <si>
    <t xml:space="preserve">חוק למניעת העסקה במוסדות מסוימים של מי שהורשע באלימות כלפי ילדים וחסרי ישע, התשפ"ג-2023</t>
  </si>
  <si>
    <t xml:space="preserve">הוועדה לביטחון לאומישורהחדשהועדת החינוך התרבות והספורט</t>
  </si>
  <si>
    <t xml:space="preserve">02.08.2023</t>
  </si>
  <si>
    <t xml:space="preserve">חוק לעידוד תעשייה עתירת ידע (הוראת שעה), התשפ"ג-2023</t>
  </si>
  <si>
    <t xml:space="preserve">31.07.2023</t>
  </si>
  <si>
    <t xml:space="preserve">חוק הרבנות הראשית לישראל (הארכת כהונה של הרבנים הראשיים לישראל ושל חברי מועצת הרבנות הראשית לישראל והוראות נוספות) (הוראת שעה), התשפ"ג-2023</t>
  </si>
  <si>
    <t xml:space="preserve">05.07.2023</t>
  </si>
  <si>
    <t xml:space="preserve">תקציב המדינה לשנת הכספים 2023</t>
  </si>
  <si>
    <t xml:space="preserve">27.06.2023</t>
  </si>
  <si>
    <t xml:space="preserve">חוק הרשויות המקומיות (הקרן להרחבת ההשקעה בתושב ולהגדלת היצע הדיור), התשפ"ג-2023</t>
  </si>
  <si>
    <t xml:space="preserve"> האוצר | הפנים</t>
  </si>
  <si>
    <t xml:space="preserve">06.06.2023</t>
  </si>
  <si>
    <t xml:space="preserve">חוק הסדרת העיסוק בשירותי תשלום וייזום תשלום, התשפ"ג-2023</t>
  </si>
  <si>
    <t xml:space="preserve">חוק לקידום תשתיות לאומיות, התשפ"ג-2023</t>
  </si>
  <si>
    <t xml:space="preserve">חוק התוכנית הכלכלית (תיקוני חקיקה ליישום המדיניות הכלכלית לשנות התקציב 2023 ו-2024), התשפ"ג-2023</t>
  </si>
  <si>
    <t xml:space="preserve">חוק ההתייעלות הכלכלית (תיקוני חקיקה להשגת יעדי התקציב לשנות התקציב 2023 ו-2024), התשפ"ג-2023</t>
  </si>
  <si>
    <t xml:space="preserve">31.05.2023</t>
  </si>
  <si>
    <t xml:space="preserve">חוק ההתאמות הפיסקליות, התשפ"ג-2023</t>
  </si>
  <si>
    <t xml:space="preserve">28.05.2023</t>
  </si>
  <si>
    <t xml:space="preserve">חוק סמכויות לאיסוף ואבחון של נתוני נוסעים הנכנסים לישראל או היוצאים ממנה, התשפ"ג-2023 </t>
  </si>
  <si>
    <t xml:space="preserve">03.04.2023</t>
  </si>
  <si>
    <t xml:space="preserve">חוק להסדרת אירוע הילולת רבי שמעון בר יוחאי בהר מירון (הוראת שעה), התשפ"ג-2023</t>
  </si>
  <si>
    <t xml:space="preserve">חוק לעניין ועדות הכנסת (תיקוני חקיקה והוראת שעה), התשפ"ג-2023</t>
  </si>
  <si>
    <t xml:space="preserve">ועדת הכנסת</t>
  </si>
  <si>
    <t xml:space="preserve">09.02.2023</t>
  </si>
  <si>
    <t xml:space="preserve">חוק איסור פרסום מידע לגבי נפגעים, התשפ"ב–2022</t>
  </si>
  <si>
    <t xml:space="preserve">06.07.2022</t>
  </si>
  <si>
    <t xml:space="preserve">חוק מענק סיוע לעסקים בשל ההשפעה הכלכלית של התפשטות זן אומיקרון של נגיף הקורונה החדש (הוראת שעה), התשפ"ב-2022 </t>
  </si>
  <si>
    <t xml:space="preserve">04.07.2022</t>
  </si>
  <si>
    <t xml:space="preserve">חוק שירותי רווחה לאנשים עם מוגבלות, התשפ"ב-2022 </t>
  </si>
  <si>
    <t xml:space="preserve">03.07.2022</t>
  </si>
  <si>
    <t xml:space="preserve">חוק הבחירות לכנסת העשרים וחמש (הוראות מיוחדות ותיקוני חקיקה), התשפ"ב–2022</t>
  </si>
  <si>
    <t xml:space="preserve">30.06.2022</t>
  </si>
  <si>
    <t xml:space="preserve">חוק התפזרות הכנסת העשרים וארבע ומימון מפלגות, התשפ"ב-2022</t>
  </si>
  <si>
    <t xml:space="preserve">חוק האזרחות והכניסה לישראל (הוראת שעה), התשפ"ב-2022 </t>
  </si>
  <si>
    <t xml:space="preserve">15.03.2022</t>
  </si>
  <si>
    <t xml:space="preserve">תקציב המדינה לשנת הכספים 2022</t>
  </si>
  <si>
    <t xml:space="preserve">22.12.2021</t>
  </si>
  <si>
    <t xml:space="preserve">תקציב המדינה לשנת הכספים 2021</t>
  </si>
  <si>
    <t xml:space="preserve">חוק שירות מידע פיננסי, התשפ"ב-2021</t>
  </si>
  <si>
    <t xml:space="preserve">18.11.2021</t>
  </si>
  <si>
    <t xml:space="preserve">חוק מס להפחתת גודש התנועה באזור גוש דן, התשפ"ב-2021</t>
  </si>
  <si>
    <t xml:space="preserve">חוק עקרונות האסדרה, התשפ"ב-2021</t>
  </si>
  <si>
    <t xml:space="preserve">ועדת החוקה, חוק ומשפטשורהחדשהועדת הכספים</t>
  </si>
  <si>
    <t xml:space="preserve">חוק רכבת תחתית (מטרו), התשפ"ב-2021</t>
  </si>
  <si>
    <t xml:space="preserve">חוק התכנית הכלכלית (תיקוני חקיקה ליישום המדיניות הכלכלית לשנות התקציב 2021 ו-2022), התשפ"ב-2021</t>
  </si>
  <si>
    <t xml:space="preserve">חוק התחשבנות בין בתי חולים ציבוריים כלליים לקופות חולים (תקצוב לאומי), התשפ"ב-2021</t>
  </si>
  <si>
    <t xml:space="preserve">15.11.2021</t>
  </si>
  <si>
    <t xml:space="preserve">חוק ההתייעלות הכלכלית (תיקוני חקיקה להשגת יעדי התקציב לשנות התקציב 2021 ו-2022), התשפ"ב-2021</t>
  </si>
  <si>
    <t xml:space="preserve">חוק לעניין ועדות הכנסת (תיקוני חקיקה והוראת שעה), התשפ"ב-2021</t>
  </si>
  <si>
    <t xml:space="preserve">12.10.2021</t>
  </si>
  <si>
    <t xml:space="preserve">חוק דחיית מועדים לביצוע בדיקות של מיתקני גז (נגיף הקורונה החדש) (הוראת שעה), התשפ"א-2021</t>
  </si>
  <si>
    <t xml:space="preserve"> האנרגיה והתשתיות</t>
  </si>
  <si>
    <t xml:space="preserve">06.01.2021</t>
  </si>
  <si>
    <t xml:space="preserve">חוק החזר מקדמה בשל ביטול אירוע (נגיף הקורונה החדש), התשפ"א–2020</t>
  </si>
  <si>
    <t xml:space="preserve">24.12.2020</t>
  </si>
  <si>
    <t xml:space="preserve">חוק הבחירות לכנסת העשרים וארבע (הוראות מיוחדות ותיקוני חקיקה), התשפ"א-2020</t>
  </si>
  <si>
    <t xml:space="preserve">23.12.2020</t>
  </si>
  <si>
    <t xml:space="preserve">חוק הגז הפחמימני המעובה, התשפ"א-2020 </t>
  </si>
  <si>
    <t xml:space="preserve">17.12.2020</t>
  </si>
  <si>
    <t xml:space="preserve">חוק לביטול העדכון של שכר חברי הכנסת בשנת 2021 (הוראת שעה), התשפ"א-2020</t>
  </si>
  <si>
    <t xml:space="preserve"> יושב ראש הכנסת</t>
  </si>
  <si>
    <t xml:space="preserve">24.11.2020</t>
  </si>
  <si>
    <t xml:space="preserve">חוק ההוצאה לפועל (הקפאת הגבלת רישיונות נהיגה) (נגיף הקורונה החדש - הוראת שעה), התש"ף-2020</t>
  </si>
  <si>
    <t xml:space="preserve">27.08.2020</t>
  </si>
  <si>
    <t xml:space="preserve">חוק למתן שירותים חיוניים מרחוק (נגיף הקורונה החדש - הוראת שעה), התש"ף-2020</t>
  </si>
  <si>
    <t xml:space="preserve">ועדת  המדע  והטכנולוגיה</t>
  </si>
  <si>
    <t xml:space="preserve">20.08.2020</t>
  </si>
  <si>
    <t xml:space="preserve">חוק הארכת תקופות וקיום דיונים בהיוועדות חזותית בענייני תכנון ובנייה (נגיף הקורונה החדש - הוראת שעה), התש"ף-2020 </t>
  </si>
  <si>
    <t xml:space="preserve">12.08.2020</t>
  </si>
  <si>
    <t xml:space="preserve">חוק קיום דיונים בהיוועדות חזותית בהשתתפות עצורים, אסירים וכלואים בתקופת התפשטות נגיף הקורונה החדש (הוראת שעה), התש"ף-2020</t>
  </si>
  <si>
    <t xml:space="preserve">חוק התכנית לסיוע כלכלי (נגיף הקורונה החדש – מענק חד-פעמי) (הוראת שעה ותיקוני חקיקה), התש"ף-2020 </t>
  </si>
  <si>
    <t xml:space="preserve">29.07.2020</t>
  </si>
  <si>
    <t xml:space="preserve">חוק התכנית לסיוע כלכלי (נגיף הקורונה החדש) (הוראת שעה), התש"ף-2020</t>
  </si>
  <si>
    <t xml:space="preserve">חוק סמכויות מיוחדות להתמודדות עם נגיף הקורונה החדש (הוראת שעה), התש"ף-2020</t>
  </si>
  <si>
    <t xml:space="preserve"> הממשלה | ראש הממשלה</t>
  </si>
  <si>
    <t xml:space="preserve">23.07.2020</t>
  </si>
  <si>
    <t xml:space="preserve">חוק הארכת תקופות ודחיית מועדים בענייני הליכי מס ומענקי סיוע (נגיף הקורונה החדש – הוראת שעה – תיקוני חקיקה), התש"ף–2020 </t>
  </si>
  <si>
    <t xml:space="preserve">21.07.2020</t>
  </si>
  <si>
    <t xml:space="preserve">חוק סמכויות מיוחדות להתמודדות עם נגיף הקורונה החדש (צווי סגירה מינהליים) (הוראת שעה), התש"ף–2020</t>
  </si>
  <si>
    <t xml:space="preserve">02.07.2020</t>
  </si>
  <si>
    <t xml:space="preserve">חוק הסמכת שירות הביטחון הכללי לסייע במאמץ הלאומי לצמצום התפשטות נגיף הקורונה החדש וקידום השימוש בטכנולוגיה אזרחית לאיתור מי שהיו במגע קרוב עם חולים (הוראת שעה), התש"ף-2020</t>
  </si>
  <si>
    <t xml:space="preserve">01.07.2020</t>
  </si>
  <si>
    <t xml:space="preserve">חוק מענק מיוחד לבני 67 ומעלה (הוראת שעה – מקרים מיוחדים), התש"ף-2020 </t>
  </si>
  <si>
    <t xml:space="preserve">30.06.2020</t>
  </si>
  <si>
    <t xml:space="preserve">חוק הארכת תקופות (הוראת שעה – נגיף הקורונה החדש) (אישורים רגולטוריים), התש"ף-2020</t>
  </si>
  <si>
    <t xml:space="preserve">חוק מענק לעידוד תעסוקה (הוראת שעה – נגיף הקורונה החדש), התש"ף-2020</t>
  </si>
  <si>
    <t xml:space="preserve">16.06.2020</t>
  </si>
  <si>
    <t xml:space="preserve">תקנות שעת חירום (נגיף הקורונה החדש) (נוכחות עצורים ואסירים בדיונים בבתי המשפט ובבתי הדין), התש"ף-2020</t>
  </si>
  <si>
    <t xml:space="preserve">17.05.2020</t>
  </si>
  <si>
    <t xml:space="preserve">תקנות שעת חירום (נגיף הקורונה החדש) (אזור מוגבל), התש"ף-2020</t>
  </si>
  <si>
    <t xml:space="preserve">03.04.2020</t>
  </si>
  <si>
    <t xml:space="preserve">תקנות שעת חירום (נגיף הקורונה החדש) (בידוד במקום לבידוד מטעם המדינה), התש"ף-2020</t>
  </si>
  <si>
    <t xml:space="preserve">תקנות שעת חירום (נגיף הקורונה החדש) (קיום דיונים בהליכים פליליים באמצעים טכנולוגיים בבתי הדין הצבאיים), התש"ף-2020</t>
  </si>
  <si>
    <t xml:space="preserve">27.03.2020</t>
  </si>
  <si>
    <t xml:space="preserve">תקנות שעת חירום (נגיף הקורונה החדש) (דיוני הוועדה לעיון בעונש), התש"ף-2020</t>
  </si>
  <si>
    <t xml:space="preserve">25.03.2020</t>
  </si>
  <si>
    <t xml:space="preserve">תקנות שעת חירום (דיוני ועדות שחרורים), התש"ף-2020</t>
  </si>
  <si>
    <t xml:space="preserve">תקנות שעת חירום (נגיף הקורונה החדש) (קיום דיונים בהליכים פליליים באמצעים טכנולוגיים), התש"ף-2020</t>
  </si>
  <si>
    <t xml:space="preserve">24.03.2020</t>
  </si>
  <si>
    <t xml:space="preserve">תקנות שעת חירום (הגבלת מספר העובדים במקום עבודה לשם צמצום התפשטות נגיף הקורונה החדש), התש"ף-2020 </t>
  </si>
  <si>
    <t xml:space="preserve">22.03.2020</t>
  </si>
  <si>
    <t xml:space="preserve">תקנות שעת חירום (נגיף הקורונה החדש - הגבלת פעילות), התש"ף-2020</t>
  </si>
  <si>
    <t xml:space="preserve">21.03.2020</t>
  </si>
  <si>
    <t xml:space="preserve">תקנות שעת חירום (דיוני מעצר בבתי הדין הצבאיים), התש"ף-2020</t>
  </si>
  <si>
    <t xml:space="preserve">18.03.2020</t>
  </si>
  <si>
    <t xml:space="preserve">תקנות שעת חירום (נגיף הקורונה החדש - אכיפה), התש"ף-2020</t>
  </si>
  <si>
    <t xml:space="preserve">16.03.2020</t>
  </si>
  <si>
    <t xml:space="preserve">תקנות שעת חירום (דיוני מעצרים), התש"ף-2020</t>
  </si>
  <si>
    <t xml:space="preserve">חוק הבחירות לכנסת העשרים ושלוש (הוראות מיוחדות), התש"ף–2019</t>
  </si>
  <si>
    <t xml:space="preserve">12.12.2019</t>
  </si>
  <si>
    <t xml:space="preserve">חוק התפזרות הכנסת העשרים ושתיים והקדמת הבחירות, התש"ף–2019</t>
  </si>
  <si>
    <t xml:space="preserve">חוק הבחירות לכנסת העשרים ושתיים (הוראות מיוחדות לעניין ועדת הבחירות), התשע"ט-2019</t>
  </si>
  <si>
    <t xml:space="preserve">06.06.2019</t>
  </si>
  <si>
    <t xml:space="preserve">חוק התפזרות הכנסת העשרים ואחת, התשע"ט-2019</t>
  </si>
  <si>
    <t xml:space="preserve">30.05.2019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</si>
</sst>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157"/>
  <sheetViews>
    <sheetView rightToLeft="1"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1.358258928571427"/>
    <col min="3" max="3" customWidth="1" width="64.21540178571429"/>
    <col min="4" max="4" customWidth="1" width="64.21540178571429"/>
    <col min="5" max="5" customWidth="1" width="14.215401785714286"/>
    <col min="6" max="6" customWidth="1" width="21.358258928571427"/>
    <col min="7" max="7" customWidth="1" width="21.358258928571427"/>
    <col min="8" max="8" customWidth="1" width="1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n">
        <v>25</v>
      </c>
      <c r="B2" t="s">
        <v>8</v>
      </c>
      <c r="C2" s="2" t="s">
        <f>=HYPERLINK("https://main.knesset.gov.il/APPS/legislation/main/laws/2244135", "חוק הכרה בתרומתם של כלבים ששירתו בגופים ביטחוניים, התשפ""ו–2026")</f>
        <v>9</v>
      </c>
      <c r="D2" t="s">
        <v>9</v>
      </c>
      <c r="E2" t="s">
        <v>10</v>
      </c>
      <c r="F2" t="s">
        <v>8</v>
      </c>
      <c r="G2" t="s">
        <v>11</v>
      </c>
      <c r="H2" t="s">
        <v>12</v>
      </c>
    </row>
    <row r="3" x14ac:dyDescent="0.25">
      <c r="A3" t="n">
        <v>25</v>
      </c>
      <c r="B3" t="s">
        <v>8</v>
      </c>
      <c r="C3" s="2" t="s">
        <f>=HYPERLINK("https://main.knesset.gov.il/APPS/legislation/main/laws/2244136", "חוק הכרה בשפת הסימנים הישראלית, התשפ""ו-2026")</f>
        <v>13</v>
      </c>
      <c r="D3" t="s">
        <v>13</v>
      </c>
      <c r="E3" t="s">
        <v>10</v>
      </c>
      <c r="F3" t="s">
        <v>14</v>
      </c>
      <c r="G3" t="s">
        <v>15</v>
      </c>
      <c r="H3" t="s">
        <v>16</v>
      </c>
    </row>
    <row r="4" x14ac:dyDescent="0.25">
      <c r="A4" t="n">
        <v>25</v>
      </c>
      <c r="B4" t="s">
        <v>8</v>
      </c>
      <c r="C4" s="2" t="s">
        <f>=HYPERLINK("https://main.knesset.gov.il/APPS/legislation/main/laws/2244038", "חוק הטבות מס ליישוב אזור קו עימות מזרחי (הוראת שעה), התשפ""ו–2026")</f>
        <v>17</v>
      </c>
      <c r="D4" t="s">
        <v>17</v>
      </c>
      <c r="E4" t="s">
        <v>10</v>
      </c>
      <c r="F4" t="s">
        <v>18</v>
      </c>
      <c r="G4" t="s">
        <v>19</v>
      </c>
      <c r="H4" t="s">
        <v>20</v>
      </c>
    </row>
    <row r="5" x14ac:dyDescent="0.25">
      <c r="A5" t="n">
        <v>25</v>
      </c>
      <c r="B5" t="s">
        <v>8</v>
      </c>
      <c r="C5" s="2" t="s">
        <f>=HYPERLINK("https://main.knesset.gov.il/APPS/legislation/main/laws/2243969", "חוק סיוע לבני משפחה של נעדרים, התשפ""ו–2026")</f>
        <v>21</v>
      </c>
      <c r="D5" t="s">
        <v>21</v>
      </c>
      <c r="E5" t="s">
        <v>10</v>
      </c>
      <c r="F5" t="s">
        <v>22</v>
      </c>
      <c r="G5" t="s">
        <v>23</v>
      </c>
      <c r="H5" t="s">
        <v>24</v>
      </c>
    </row>
    <row r="6" x14ac:dyDescent="0.25">
      <c r="A6" t="n">
        <v>25</v>
      </c>
      <c r="B6" t="s">
        <v>8</v>
      </c>
      <c r="C6" s="2" t="s">
        <f>=HYPERLINK("https://main.knesset.gov.il/APPS/legislation/main/laws/2243337", "חוק העמדה לדין בשל אירועי טבח 7 באוקטובר 2023 (טבח שמיני עצרת), התשפ""ו–2026")</f>
        <v>25</v>
      </c>
      <c r="D6" t="s">
        <v>25</v>
      </c>
      <c r="E6" t="s">
        <v>10</v>
      </c>
      <c r="F6" t="s">
        <v>26</v>
      </c>
      <c r="G6" t="s">
        <v>27</v>
      </c>
      <c r="H6" t="s">
        <v>28</v>
      </c>
    </row>
    <row r="7" x14ac:dyDescent="0.25">
      <c r="A7" t="n">
        <v>25</v>
      </c>
      <c r="B7" t="s">
        <v>8</v>
      </c>
      <c r="C7" s="2" t="s">
        <f>=HYPERLINK("https://main.knesset.gov.il/APPS/legislation/main/laws/2242830", "חוק חובת דיווח על מלאי מזון לבעלי חיים ומלאי חיטה לשם היערכות למחסור משמעותי, התשפ""ו-2026")</f>
        <v>29</v>
      </c>
      <c r="D7" t="s">
        <v>29</v>
      </c>
      <c r="E7" t="s">
        <v>10</v>
      </c>
      <c r="F7" t="s">
        <v>30</v>
      </c>
      <c r="G7" t="s">
        <v>8</v>
      </c>
      <c r="H7" t="s">
        <v>31</v>
      </c>
    </row>
    <row r="8" x14ac:dyDescent="0.25">
      <c r="A8" t="n">
        <v>25</v>
      </c>
      <c r="B8" t="s">
        <v>8</v>
      </c>
      <c r="C8" s="2" t="s">
        <f>=HYPERLINK("https://main.knesset.gov.il/APPS/legislation/main/laws/2242357", "חוק שיקום נזקי מלחמה בדרך של התחדשות עירונית, התשפ""ו-2026")</f>
        <v>32</v>
      </c>
      <c r="D8" t="s">
        <v>32</v>
      </c>
      <c r="E8" t="s">
        <v>10</v>
      </c>
      <c r="F8" t="s">
        <v>33</v>
      </c>
      <c r="G8" t="s">
        <v>34</v>
      </c>
      <c r="H8" t="s">
        <v>35</v>
      </c>
    </row>
    <row r="9" x14ac:dyDescent="0.25">
      <c r="A9" t="n">
        <v>25</v>
      </c>
      <c r="B9" t="s">
        <v>8</v>
      </c>
      <c r="C9" s="2" t="s">
        <f>=HYPERLINK("https://main.knesset.gov.il/APPS/legislation/main/laws/2242356", "חוק עונש מוות למחבלים, התשפ""ו-2026")</f>
        <v>36</v>
      </c>
      <c r="D9" t="s">
        <v>36</v>
      </c>
      <c r="E9" t="s">
        <v>10</v>
      </c>
      <c r="F9" t="s">
        <v>37</v>
      </c>
      <c r="G9" t="s">
        <v>23</v>
      </c>
      <c r="H9" t="s">
        <v>35</v>
      </c>
    </row>
    <row r="10" x14ac:dyDescent="0.25">
      <c r="A10" t="n">
        <v>25</v>
      </c>
      <c r="B10" t="s">
        <v>8</v>
      </c>
      <c r="C10" s="2" t="s">
        <f>=HYPERLINK("https://main.knesset.gov.il/APPS/legislation/main/laws/2242334", "חוק עידוד יישוב עירוני מעורב (הוראת שעה), התשפ""ו–2026")</f>
        <v>38</v>
      </c>
      <c r="D10" t="s">
        <v>38</v>
      </c>
      <c r="E10" t="s">
        <v>10</v>
      </c>
      <c r="F10" t="s">
        <v>18</v>
      </c>
      <c r="G10" t="s">
        <v>19</v>
      </c>
      <c r="H10" t="s">
        <v>39</v>
      </c>
    </row>
    <row r="11" x14ac:dyDescent="0.25">
      <c r="A11" t="n">
        <v>25</v>
      </c>
      <c r="B11" t="s">
        <v>8</v>
      </c>
      <c r="C11" s="2" t="s">
        <f>=HYPERLINK("https://main.knesset.gov.il/APPS/legislation/main/laws/2242333", "חוק התוכנית לסיוע כלכלי (הוראת שעה) (תעסוקה), התשפ""ו-2026")</f>
        <v>40</v>
      </c>
      <c r="D11" t="s">
        <v>40</v>
      </c>
      <c r="E11" t="s">
        <v>10</v>
      </c>
      <c r="F11" t="s">
        <v>41</v>
      </c>
      <c r="G11" t="s">
        <v>42</v>
      </c>
      <c r="H11" t="s">
        <v>39</v>
      </c>
    </row>
    <row r="12" x14ac:dyDescent="0.25">
      <c r="A12" t="n">
        <v>25</v>
      </c>
      <c r="B12" t="s">
        <v>8</v>
      </c>
      <c r="C12" s="2" t="s">
        <f>=HYPERLINK("https://main.knesset.gov.il/APPS/legislation/main/laws/2242332", "חוק ההתייעלות הכלכלית (תיקוני חקיקה להשגת יעדי התקציב לשנת התקציב 2026), התשפ""ו-2026")</f>
        <v>43</v>
      </c>
      <c r="D12" t="s">
        <v>43</v>
      </c>
      <c r="E12" t="s">
        <v>10</v>
      </c>
      <c r="F12" t="s">
        <v>18</v>
      </c>
      <c r="G12" t="s">
        <v>19</v>
      </c>
      <c r="H12" t="s">
        <v>39</v>
      </c>
    </row>
    <row r="13" x14ac:dyDescent="0.25">
      <c r="A13" t="n">
        <v>25</v>
      </c>
      <c r="B13" t="s">
        <v>8</v>
      </c>
      <c r="C13" s="2" t="s">
        <f>=HYPERLINK("https://main.knesset.gov.il/APPS/legislation/main/laws/2242331", "חוק התחשבנות בין בתי חולים לקופות חולים לשנים 2026 עד 2030 (התחשבנות בעד שירותי בריאות בבתי חולים ציבוריים כלליים), התשפ""ו-2026")</f>
        <v>44</v>
      </c>
      <c r="D13" t="s">
        <v>44</v>
      </c>
      <c r="E13" t="s">
        <v>10</v>
      </c>
      <c r="F13" t="s">
        <v>45</v>
      </c>
      <c r="G13" t="s">
        <v>46</v>
      </c>
      <c r="H13" t="s">
        <v>39</v>
      </c>
    </row>
    <row r="14" x14ac:dyDescent="0.25">
      <c r="A14" t="n">
        <v>25</v>
      </c>
      <c r="B14" t="s">
        <v>8</v>
      </c>
      <c r="C14" s="2" t="s">
        <f>=HYPERLINK("https://main.knesset.gov.il/APPS/legislation/main/laws/2242330", "חוק עידוד עלייה לישראל וחזרה אליה (הוראת שעה), התשפ""ו-2026")</f>
        <v>47</v>
      </c>
      <c r="D14" t="s">
        <v>47</v>
      </c>
      <c r="E14" t="s">
        <v>10</v>
      </c>
      <c r="F14" t="s">
        <v>18</v>
      </c>
      <c r="G14" t="s">
        <v>19</v>
      </c>
      <c r="H14" t="s">
        <v>39</v>
      </c>
    </row>
    <row r="15" x14ac:dyDescent="0.25">
      <c r="A15" t="n">
        <v>25</v>
      </c>
      <c r="B15" t="s">
        <v>8</v>
      </c>
      <c r="C15" s="2" t="s">
        <f>=HYPERLINK("https://main.knesset.gov.il/APPS/legislation/main/laws/2242329", "חוק התוכנית הכלכלית (תיקוני חקיקה ליישום המדיניות הכלכלית לשנת התקציב 2026), התשפ""ו-2026")</f>
        <v>48</v>
      </c>
      <c r="D15" t="s">
        <v>48</v>
      </c>
      <c r="E15" t="s">
        <v>10</v>
      </c>
      <c r="F15" t="s">
        <v>18</v>
      </c>
      <c r="G15" t="s">
        <v>19</v>
      </c>
      <c r="H15" t="s">
        <v>39</v>
      </c>
    </row>
    <row r="16" x14ac:dyDescent="0.25">
      <c r="A16" t="n">
        <v>25</v>
      </c>
      <c r="B16" t="s">
        <v>8</v>
      </c>
      <c r="C16" s="2" t="s">
        <f>=HYPERLINK("https://main.knesset.gov.il/APPS/legislation/main/laws/2242328", "חוק לקידום התחרות בשוק הבנקאות (תיקוני חקיקה), התשפ""ו-2026")</f>
        <v>49</v>
      </c>
      <c r="D16" t="s">
        <v>49</v>
      </c>
      <c r="E16" t="s">
        <v>10</v>
      </c>
      <c r="F16" t="s">
        <v>18</v>
      </c>
      <c r="G16" t="s">
        <v>19</v>
      </c>
      <c r="H16" t="s">
        <v>39</v>
      </c>
    </row>
    <row r="17" x14ac:dyDescent="0.25">
      <c r="A17" t="n">
        <v>25</v>
      </c>
      <c r="B17" t="s">
        <v>8</v>
      </c>
      <c r="C17" s="2" t="s">
        <f>=HYPERLINK("https://main.knesset.gov.il/APPS/legislation/main/laws/2242327", "חוק לעידוד ולתמרוץ מחקר ופיתוח, התשפ""ו-2026")</f>
        <v>50</v>
      </c>
      <c r="D17" t="s">
        <v>50</v>
      </c>
      <c r="E17" t="s">
        <v>10</v>
      </c>
      <c r="F17" t="s">
        <v>18</v>
      </c>
      <c r="G17" t="s">
        <v>19</v>
      </c>
      <c r="H17" t="s">
        <v>39</v>
      </c>
    </row>
    <row r="18" x14ac:dyDescent="0.25">
      <c r="A18" t="n">
        <v>25</v>
      </c>
      <c r="B18" t="s">
        <v>8</v>
      </c>
      <c r="C18" s="2" t="s">
        <f>=HYPERLINK("https://main.knesset.gov.il/APPS/legislation/main/laws/2242324", "חוק להסדרת אירוע הילולת רבי שמעון בר יוחאי בהר מירון (הוראת שעה), התשפ""ו–2026")</f>
        <v>51</v>
      </c>
      <c r="D18" t="s">
        <v>51</v>
      </c>
      <c r="E18" t="s">
        <v>10</v>
      </c>
      <c r="F18" t="s">
        <v>52</v>
      </c>
      <c r="G18" t="s">
        <v>23</v>
      </c>
      <c r="H18" t="s">
        <v>39</v>
      </c>
    </row>
    <row r="19" x14ac:dyDescent="0.25">
      <c r="A19" t="n">
        <v>25</v>
      </c>
      <c r="B19" t="s">
        <v>8</v>
      </c>
      <c r="C19" s="2" t="s">
        <f>=HYPERLINK("https://main.knesset.gov.il/APPS/legislation/main/laws/2242222", "חוק שיפוט בתי דין דתיים (בוררות), התשפ""ו–2026")</f>
        <v>53</v>
      </c>
      <c r="D19" t="s">
        <v>53</v>
      </c>
      <c r="E19" t="s">
        <v>10</v>
      </c>
      <c r="F19" t="s">
        <v>54</v>
      </c>
      <c r="G19" t="s">
        <v>27</v>
      </c>
      <c r="H19" t="s">
        <v>55</v>
      </c>
    </row>
    <row r="20" x14ac:dyDescent="0.25">
      <c r="A20" t="n">
        <v>25</v>
      </c>
      <c r="B20" t="s">
        <v>8</v>
      </c>
      <c r="C20" s="2" t="s">
        <f>=HYPERLINK("https://main.knesset.gov.il/APPS/legislation/main/laws/2241319", "חוק קיום דיונים בהיוועדות חזותית בעת הכרזה על הגבלה (עצורים, אסירים וכלואים) (הוראת שעה), התשפ""ו-2026")</f>
        <v>56</v>
      </c>
      <c r="D20" t="s">
        <v>56</v>
      </c>
      <c r="E20" t="s">
        <v>10</v>
      </c>
      <c r="F20" t="s">
        <v>57</v>
      </c>
      <c r="G20" t="s">
        <v>27</v>
      </c>
      <c r="H20" t="s">
        <v>58</v>
      </c>
    </row>
    <row r="21" x14ac:dyDescent="0.25">
      <c r="A21" t="n">
        <v>25</v>
      </c>
      <c r="B21" t="s">
        <v>8</v>
      </c>
      <c r="C21" s="2" t="s">
        <f>=HYPERLINK("https://main.knesset.gov.il/APPS/legislation/main/laws/2239473", "חוק יום הוקרה ממלכתי לפצועי מערכות ישראל ונפגעי פעולות איבה, התשפ""ו–2026")</f>
        <v>59</v>
      </c>
      <c r="D21" t="s">
        <v>59</v>
      </c>
      <c r="E21" t="s">
        <v>10</v>
      </c>
      <c r="F21" t="s">
        <v>26</v>
      </c>
      <c r="G21" t="s">
        <v>15</v>
      </c>
      <c r="H21" t="s">
        <v>60</v>
      </c>
    </row>
    <row r="22" x14ac:dyDescent="0.25">
      <c r="A22" t="n">
        <v>25</v>
      </c>
      <c r="B22" t="s">
        <v>8</v>
      </c>
      <c r="C22" s="2" t="s">
        <f>=HYPERLINK("https://main.knesset.gov.il/APPS/legislation/main/laws/2238756", "חוק מס חברות מזערי בקבוצה רב־לאומית, התשפ""ו-2025")</f>
        <v>61</v>
      </c>
      <c r="D22" t="s">
        <v>61</v>
      </c>
      <c r="E22" t="s">
        <v>10</v>
      </c>
      <c r="F22" t="s">
        <v>18</v>
      </c>
      <c r="G22" t="s">
        <v>19</v>
      </c>
      <c r="H22" t="s">
        <v>62</v>
      </c>
    </row>
    <row r="23" x14ac:dyDescent="0.25">
      <c r="A23" t="n">
        <v>25</v>
      </c>
      <c r="B23" t="s">
        <v>8</v>
      </c>
      <c r="C23" s="2" t="s">
        <f>=HYPERLINK("https://main.knesset.gov.il/APPS/legislation/main/laws/2238276", "חוק מניעת פגיעת גוף שידורים זר בביטחון המדינה (הוראת שעה), התשפ""ו–2025")</f>
        <v>63</v>
      </c>
      <c r="D23" t="s">
        <v>63</v>
      </c>
      <c r="E23" t="s">
        <v>10</v>
      </c>
      <c r="F23" t="s">
        <v>64</v>
      </c>
      <c r="G23" t="s">
        <v>23</v>
      </c>
      <c r="H23" t="s">
        <v>65</v>
      </c>
    </row>
    <row r="24" x14ac:dyDescent="0.25">
      <c r="A24" t="n">
        <v>25</v>
      </c>
      <c r="B24" t="s">
        <v>8</v>
      </c>
      <c r="C24" s="2" t="s">
        <f>=HYPERLINK("https://main.knesset.gov.il/APPS/legislation/main/laws/2233921", "חוק המרכז להנצחת זכרו של דוד לוי, התשפ""ה–2025")</f>
        <v>66</v>
      </c>
      <c r="D24" t="s">
        <v>66</v>
      </c>
      <c r="E24" t="s">
        <v>10</v>
      </c>
      <c r="F24" t="s">
        <v>67</v>
      </c>
      <c r="G24" t="s">
        <v>15</v>
      </c>
      <c r="H24" t="s">
        <v>68</v>
      </c>
    </row>
    <row r="25" x14ac:dyDescent="0.25">
      <c r="A25" t="n">
        <v>25</v>
      </c>
      <c r="B25" t="s">
        <v>8</v>
      </c>
      <c r="C25" s="2" t="s">
        <f>=HYPERLINK("https://main.knesset.gov.il/APPS/legislation/main/laws/2233052", "חוק אסטרטגיית הביטחון הלאומי, התשפ""ה–2025")</f>
        <v>69</v>
      </c>
      <c r="D25" t="s">
        <v>69</v>
      </c>
      <c r="E25" t="s">
        <v>10</v>
      </c>
      <c r="F25" t="s">
        <v>64</v>
      </c>
      <c r="G25" t="s">
        <v>11</v>
      </c>
      <c r="H25" t="s">
        <v>70</v>
      </c>
    </row>
    <row r="26" x14ac:dyDescent="0.25">
      <c r="A26" t="n">
        <v>25</v>
      </c>
      <c r="B26" t="s">
        <v>8</v>
      </c>
      <c r="C26" s="2" t="s">
        <f>=HYPERLINK("https://main.knesset.gov.il/APPS/legislation/main/laws/2231076", "תקציב המדינה לשנת הכספים 2025")</f>
        <v>71</v>
      </c>
      <c r="D26" t="s">
        <v>71</v>
      </c>
      <c r="E26" t="s">
        <v>10</v>
      </c>
      <c r="F26" t="s">
        <v>18</v>
      </c>
      <c r="G26" t="s">
        <v>8</v>
      </c>
      <c r="H26" t="s">
        <v>72</v>
      </c>
    </row>
    <row r="27" x14ac:dyDescent="0.25">
      <c r="A27" t="n">
        <v>25</v>
      </c>
      <c r="B27" t="s">
        <v>8</v>
      </c>
      <c r="C27" s="2" t="s">
        <f>=HYPERLINK("https://main.knesset.gov.il/APPS/legislation/main/laws/2230747", "חוק הרשות הלאומית למאבק בעוני, התשפ""ה-2025")</f>
        <v>73</v>
      </c>
      <c r="D27" t="s">
        <v>73</v>
      </c>
      <c r="E27" t="s">
        <v>10</v>
      </c>
      <c r="F27" t="s">
        <v>74</v>
      </c>
      <c r="G27" t="s">
        <v>42</v>
      </c>
      <c r="H27" t="s">
        <v>75</v>
      </c>
    </row>
    <row r="28" x14ac:dyDescent="0.25">
      <c r="A28" t="n">
        <v>25</v>
      </c>
      <c r="B28" t="s">
        <v>8</v>
      </c>
      <c r="C28" s="2" t="s">
        <f>=HYPERLINK("https://main.knesset.gov.il/APPS/legislation/main/laws/2230745", "חוק להסדרת אירוע הילולת רבי שמעון בר יוחאי בהר מירון (הוראת שעה), התשפ""ה-2025 ")</f>
        <v>76</v>
      </c>
      <c r="D28" t="s">
        <v>76</v>
      </c>
      <c r="E28" t="s">
        <v>77</v>
      </c>
      <c r="F28" t="s">
        <v>78</v>
      </c>
      <c r="G28" t="s">
        <v>23</v>
      </c>
      <c r="H28" t="s">
        <v>79</v>
      </c>
    </row>
    <row r="29" x14ac:dyDescent="0.25">
      <c r="A29" t="n">
        <v>25</v>
      </c>
      <c r="B29" t="s">
        <v>8</v>
      </c>
      <c r="C29" s="2" t="s">
        <f>=HYPERLINK("https://main.knesset.gov.il/APPS/legislation/main/laws/2230735", "חוק שיקום נרחב לחבל התקומה כאזור מיקוד לאומי וסיוע ליישובים הסמוכים אליו, התשפ""ה–2025 ")</f>
        <v>80</v>
      </c>
      <c r="D29" t="s">
        <v>80</v>
      </c>
      <c r="E29" t="s">
        <v>10</v>
      </c>
      <c r="F29" t="s">
        <v>52</v>
      </c>
      <c r="G29" t="s">
        <v>81</v>
      </c>
      <c r="H29" t="s">
        <v>79</v>
      </c>
    </row>
    <row r="30" x14ac:dyDescent="0.25">
      <c r="A30" t="n">
        <v>25</v>
      </c>
      <c r="B30" t="s">
        <v>8</v>
      </c>
      <c r="C30" s="2" t="s">
        <f>=HYPERLINK("https://main.knesset.gov.il/APPS/legislation/main/laws/2230588", "חוק להשתתפותם של העובדים ובעלי תפקיד בשירות הציבורי, בצעדים לייצוב המצב הפיסקלי במדינה במהלך השנים 2025 ו־2026 (הוראת שעה), התשפ""ה-2025")</f>
        <v>82</v>
      </c>
      <c r="D30" t="s">
        <v>82</v>
      </c>
      <c r="E30" t="s">
        <v>10</v>
      </c>
      <c r="F30" t="s">
        <v>18</v>
      </c>
      <c r="G30" t="s">
        <v>42</v>
      </c>
      <c r="H30" t="s">
        <v>83</v>
      </c>
    </row>
    <row r="31" x14ac:dyDescent="0.25">
      <c r="A31" t="n">
        <v>25</v>
      </c>
      <c r="B31" t="s">
        <v>8</v>
      </c>
      <c r="C31" s="2" t="s">
        <f>=HYPERLINK("https://main.knesset.gov.il/APPS/legislation/main/laws/2230587", "חוק הקפאה והפחתה של דמי הבראה בשנת 2025, התשפ""ה-2025")</f>
        <v>84</v>
      </c>
      <c r="D31" t="s">
        <v>84</v>
      </c>
      <c r="E31" t="s">
        <v>10</v>
      </c>
      <c r="F31" t="s">
        <v>18</v>
      </c>
      <c r="G31" t="s">
        <v>42</v>
      </c>
      <c r="H31" t="s">
        <v>83</v>
      </c>
    </row>
    <row r="32" x14ac:dyDescent="0.25">
      <c r="A32" t="n">
        <v>25</v>
      </c>
      <c r="B32" t="s">
        <v>8</v>
      </c>
      <c r="C32" s="2" t="s">
        <f>=HYPERLINK("https://main.knesset.gov.il/APPS/legislation/main/laws/2230586", "חוק להשגת יעדי התקציב וליישום המדיניות הכלכלית לשנת התקציב 2025 (תיקוני חקיקה), התשפ""ה–2025")</f>
        <v>85</v>
      </c>
      <c r="D32" t="s">
        <v>85</v>
      </c>
      <c r="E32" t="s">
        <v>10</v>
      </c>
      <c r="F32" t="s">
        <v>18</v>
      </c>
      <c r="G32" t="s">
        <v>19</v>
      </c>
      <c r="H32" t="s">
        <v>83</v>
      </c>
    </row>
    <row r="33" x14ac:dyDescent="0.25">
      <c r="A33" t="n">
        <v>25</v>
      </c>
      <c r="B33" t="s">
        <v>8</v>
      </c>
      <c r="C33" s="2" t="s">
        <f>=HYPERLINK("https://main.knesset.gov.il/APPS/legislation/main/laws/2230506", "חוק התחשבנות בין בתי חולים לקופות חולים (בריאות הנפש), התשפ""ה-2025")</f>
        <v>86</v>
      </c>
      <c r="D33" t="s">
        <v>86</v>
      </c>
      <c r="E33" t="s">
        <v>10</v>
      </c>
      <c r="F33" t="s">
        <v>45</v>
      </c>
      <c r="G33" t="s">
        <v>46</v>
      </c>
      <c r="H33" t="s">
        <v>87</v>
      </c>
    </row>
    <row r="34" x14ac:dyDescent="0.25">
      <c r="A34" t="n">
        <v>25</v>
      </c>
      <c r="B34" t="s">
        <v>8</v>
      </c>
      <c r="C34" s="2" t="s">
        <f>=HYPERLINK("https://main.knesset.gov.il/APPS/legislation/main/laws/2230332", "חוק להסדרת מגורים בשטחי מרעה, התשפ""ה–2025")</f>
        <v>88</v>
      </c>
      <c r="D34" t="s">
        <v>88</v>
      </c>
      <c r="E34" t="s">
        <v>10</v>
      </c>
      <c r="F34" t="s">
        <v>30</v>
      </c>
      <c r="G34" t="s">
        <v>34</v>
      </c>
      <c r="H34" t="s">
        <v>89</v>
      </c>
    </row>
    <row r="35" x14ac:dyDescent="0.25">
      <c r="A35" t="n">
        <v>25</v>
      </c>
      <c r="B35" t="s">
        <v>8</v>
      </c>
      <c r="C35" s="2" t="s">
        <f>=HYPERLINK("https://main.knesset.gov.il/APPS/legislation/main/laws/2229332", "חוק יום לציון מכתב 18 המשפחות היהודיות מגאורגיה, התשפ""ה–2025")</f>
        <v>90</v>
      </c>
      <c r="D35" t="s">
        <v>90</v>
      </c>
      <c r="E35" t="s">
        <v>10</v>
      </c>
      <c r="F35" t="s">
        <v>91</v>
      </c>
      <c r="G35" t="s">
        <v>15</v>
      </c>
      <c r="H35" t="s">
        <v>92</v>
      </c>
    </row>
    <row r="36" x14ac:dyDescent="0.25">
      <c r="A36" t="n">
        <v>25</v>
      </c>
      <c r="B36" t="s">
        <v>8</v>
      </c>
      <c r="C36" s="2" t="s">
        <f>=HYPERLINK("https://main.knesset.gov.il/APPS/legislation/main/laws/2229119", "חוק להסדרה של הצבת כוורות, האבקה וייצור דבש, התשפ""ה–2025")</f>
        <v>93</v>
      </c>
      <c r="D36" t="s">
        <v>93</v>
      </c>
      <c r="E36" t="s">
        <v>10</v>
      </c>
      <c r="F36" t="s">
        <v>30</v>
      </c>
      <c r="G36" t="s">
        <v>81</v>
      </c>
      <c r="H36" t="s">
        <v>94</v>
      </c>
    </row>
    <row r="37" x14ac:dyDescent="0.25">
      <c r="A37" t="n">
        <v>25</v>
      </c>
      <c r="B37" t="s">
        <v>8</v>
      </c>
      <c r="C37" s="2" t="s">
        <f>=HYPERLINK("https://main.knesset.gov.il/APPS/legislation/main/laws/2228206", "חוק יום לציון עליית יהודי תימן לישראל ולהנצחת זכרם של הנספים בדרך לישראל, התשפ""ה–2025")</f>
        <v>95</v>
      </c>
      <c r="D37" t="s">
        <v>95</v>
      </c>
      <c r="E37" t="s">
        <v>10</v>
      </c>
      <c r="F37" t="s">
        <v>91</v>
      </c>
      <c r="G37" t="s">
        <v>15</v>
      </c>
      <c r="H37" t="s">
        <v>96</v>
      </c>
    </row>
    <row r="38" x14ac:dyDescent="0.25">
      <c r="A38" t="n">
        <v>25</v>
      </c>
      <c r="B38" t="s">
        <v>8</v>
      </c>
      <c r="C38" s="2" t="s">
        <f>=HYPERLINK("https://main.knesset.gov.il/APPS/legislation/main/laws/2228204", "חוק להנצחת זכרו של מרן הרב עובדיה יוסף, התשפ""ה-2025")</f>
        <v>97</v>
      </c>
      <c r="D38" t="s">
        <v>97</v>
      </c>
      <c r="E38" t="s">
        <v>10</v>
      </c>
      <c r="F38" t="s">
        <v>98</v>
      </c>
      <c r="G38" t="s">
        <v>15</v>
      </c>
      <c r="H38" t="s">
        <v>99</v>
      </c>
    </row>
    <row r="39" x14ac:dyDescent="0.25">
      <c r="A39" t="n">
        <v>25</v>
      </c>
      <c r="B39" t="s">
        <v>8</v>
      </c>
      <c r="C39" s="2" t="s">
        <f>=HYPERLINK("https://main.knesset.gov.il/APPS/legislation/main/laws/2227653", "חוק איסור הכחשת אירועי טבח 7 באוקטובר 2023 (טבח שמיני עצרת), התשפ""ה–2025")</f>
        <v>100</v>
      </c>
      <c r="D39" t="s">
        <v>100</v>
      </c>
      <c r="E39" t="s">
        <v>10</v>
      </c>
      <c r="F39" t="s">
        <v>64</v>
      </c>
      <c r="G39" t="s">
        <v>27</v>
      </c>
      <c r="H39" t="s">
        <v>101</v>
      </c>
    </row>
    <row r="40" x14ac:dyDescent="0.25">
      <c r="A40" t="n">
        <v>25</v>
      </c>
      <c r="B40" t="s">
        <v>8</v>
      </c>
      <c r="C40" s="2" t="s">
        <f>=HYPERLINK("https://main.knesset.gov.il/APPS/legislation/main/laws/2227418", "חוק להנצחת זכרו של הרב חיים דרוקמן, התשפ""ה–2025")</f>
        <v>102</v>
      </c>
      <c r="D40" t="s">
        <v>102</v>
      </c>
      <c r="E40" t="s">
        <v>10</v>
      </c>
      <c r="F40" t="s">
        <v>103</v>
      </c>
      <c r="G40" t="s">
        <v>15</v>
      </c>
      <c r="H40" t="s">
        <v>104</v>
      </c>
    </row>
    <row r="41" x14ac:dyDescent="0.25">
      <c r="A41" t="n">
        <v>25</v>
      </c>
      <c r="B41" t="s">
        <v>8</v>
      </c>
      <c r="C41" s="2" t="s">
        <f>=HYPERLINK("https://main.knesset.gov.il/APPS/legislation/main/laws/2227060", "חוק הסדרת העיסוק בעבודה במערכת קירור או מיזוג אוויר, התשפ""ה-2025")</f>
        <v>105</v>
      </c>
      <c r="D41" t="s">
        <v>105</v>
      </c>
      <c r="E41" t="s">
        <v>10</v>
      </c>
      <c r="F41" t="s">
        <v>22</v>
      </c>
      <c r="G41" t="s">
        <v>42</v>
      </c>
      <c r="H41" t="s">
        <v>106</v>
      </c>
    </row>
    <row r="42" x14ac:dyDescent="0.25">
      <c r="A42" t="n">
        <v>25</v>
      </c>
      <c r="B42" t="s">
        <v>8</v>
      </c>
      <c r="C42" s="2" t="s">
        <f>=HYPERLINK("https://main.knesset.gov.il/APPS/legislation/main/laws/2226012", "חוק ההתייעלות הכלכלית (תיקוני חקיקה להשגת יעדי התקציב לשנת התקציב 2025) (הקפאת שכר נושאי משרה ברשויות השלטון וברשויות מקומיות בשנת 2025), התשפ""ה–2024")</f>
        <v>107</v>
      </c>
      <c r="D42" t="s">
        <v>107</v>
      </c>
      <c r="E42" t="s">
        <v>10</v>
      </c>
      <c r="F42" t="s">
        <v>18</v>
      </c>
      <c r="G42" t="s">
        <v>19</v>
      </c>
      <c r="H42" t="s">
        <v>108</v>
      </c>
    </row>
    <row r="43" x14ac:dyDescent="0.25">
      <c r="A43" t="n">
        <v>25</v>
      </c>
      <c r="B43" t="s">
        <v>8</v>
      </c>
      <c r="C43" s="2" t="s">
        <f>=HYPERLINK("https://main.knesset.gov.il/APPS/legislation/main/laws/2225619", "חוק הגנה על הציבור מפני ארגוני פשיעה, התשפ""ה-2024")</f>
        <v>109</v>
      </c>
      <c r="D43" t="s">
        <v>109</v>
      </c>
      <c r="E43" t="s">
        <v>10</v>
      </c>
      <c r="F43" t="s">
        <v>110</v>
      </c>
      <c r="G43" t="s">
        <v>23</v>
      </c>
      <c r="H43" t="s">
        <v>111</v>
      </c>
    </row>
    <row r="44" x14ac:dyDescent="0.25">
      <c r="A44" t="n">
        <v>25</v>
      </c>
      <c r="B44" t="s">
        <v>8</v>
      </c>
      <c r="C44" s="2" t="s">
        <f>=HYPERLINK("https://main.knesset.gov.il/APPS/legislation/main/laws/2225618", "חוק מניעת מימון לייצוג משפטי בידי מדינת ישראל (חשוד, נאשם או מורשע בעבירת ביטחון - חרבות ברזל), התשפ""ה–2024")</f>
        <v>112</v>
      </c>
      <c r="D44" t="s">
        <v>112</v>
      </c>
      <c r="E44" t="s">
        <v>10</v>
      </c>
      <c r="F44" t="s">
        <v>18</v>
      </c>
      <c r="G44" t="s">
        <v>27</v>
      </c>
      <c r="H44" t="s">
        <v>111</v>
      </c>
    </row>
    <row r="45" x14ac:dyDescent="0.25">
      <c r="A45" t="n">
        <v>25</v>
      </c>
      <c r="B45" t="s">
        <v>8</v>
      </c>
      <c r="C45" s="2" t="s">
        <f>=HYPERLINK("https://main.knesset.gov.il/APPS/legislation/main/laws/2223851", "חוק לתיקון דיני הבחירות לרשויות המקומיות (הוראת שעה), התשפ""ה-2024")</f>
        <v>113</v>
      </c>
      <c r="D45" t="s">
        <v>113</v>
      </c>
      <c r="E45" t="s">
        <v>10</v>
      </c>
      <c r="F45" t="s">
        <v>114</v>
      </c>
      <c r="G45" t="s">
        <v>34</v>
      </c>
      <c r="H45" t="s">
        <v>115</v>
      </c>
    </row>
    <row r="46" x14ac:dyDescent="0.25">
      <c r="A46" t="n">
        <v>25</v>
      </c>
      <c r="B46" t="s">
        <v>8</v>
      </c>
      <c r="C46" s="2" t="s">
        <f>=HYPERLINK("https://main.knesset.gov.il/APPS/legislation/main/laws/2223847", "חוק גירוש משפחות מחבלים, התשפ""ה–2024")</f>
        <v>116</v>
      </c>
      <c r="D46" t="s">
        <v>116</v>
      </c>
      <c r="E46" t="s">
        <v>10</v>
      </c>
      <c r="F46" t="s">
        <v>114</v>
      </c>
      <c r="G46" t="s">
        <v>34</v>
      </c>
      <c r="H46" t="s">
        <v>117</v>
      </c>
    </row>
    <row r="47" x14ac:dyDescent="0.25">
      <c r="A47" t="n">
        <v>25</v>
      </c>
      <c r="B47" t="s">
        <v>8</v>
      </c>
      <c r="C47" s="2" t="s">
        <f>=HYPERLINK("https://main.knesset.gov.il/APPS/legislation/main/laws/2223084", "חוק להפסקת פעילות אונר""א, התשפ""ה-2024")</f>
        <v>118</v>
      </c>
      <c r="D47" t="s">
        <v>118</v>
      </c>
      <c r="E47" t="s">
        <v>10</v>
      </c>
      <c r="F47" t="s">
        <v>64</v>
      </c>
      <c r="G47" t="s">
        <v>11</v>
      </c>
      <c r="H47" t="s">
        <v>119</v>
      </c>
    </row>
    <row r="48" x14ac:dyDescent="0.25">
      <c r="A48" t="n">
        <v>25</v>
      </c>
      <c r="B48" t="s">
        <v>8</v>
      </c>
      <c r="C48" s="2" t="s">
        <f>=HYPERLINK("https://main.knesset.gov.il/APPS/legislation/main/laws/2223082", "חוק להפסקת פעילות אונר""א בשטח מדינת ישראל, התשפ""ה-2024")</f>
        <v>120</v>
      </c>
      <c r="D48" t="s">
        <v>120</v>
      </c>
      <c r="E48" t="s">
        <v>10</v>
      </c>
      <c r="F48" t="s">
        <v>64</v>
      </c>
      <c r="G48" t="s">
        <v>11</v>
      </c>
      <c r="H48" t="s">
        <v>119</v>
      </c>
    </row>
    <row r="49" x14ac:dyDescent="0.25">
      <c r="A49" t="n">
        <v>25</v>
      </c>
      <c r="B49" t="s">
        <v>8</v>
      </c>
      <c r="C49" s="2" t="s">
        <f>=HYPERLINK("https://main.knesset.gov.il/APPS/legislation/main/laws/2222476", "תקציב נוסף לשנת הכספים 2024 (מס' 2)")</f>
        <v>121</v>
      </c>
      <c r="D49" t="s">
        <v>121</v>
      </c>
      <c r="E49" t="s">
        <v>10</v>
      </c>
      <c r="F49" t="s">
        <v>18</v>
      </c>
      <c r="G49" t="s">
        <v>19</v>
      </c>
      <c r="H49" t="s">
        <v>122</v>
      </c>
    </row>
    <row r="50" x14ac:dyDescent="0.25">
      <c r="A50" t="n">
        <v>25</v>
      </c>
      <c r="B50" t="s">
        <v>8</v>
      </c>
      <c r="C50" s="2" t="s">
        <f>=HYPERLINK("https://main.knesset.gov.il/APPS/legislation/main/laws/2221731", "חוק הפרות תעבורה מינהליות, התשפ""ד-2024")</f>
        <v>123</v>
      </c>
      <c r="D50" t="s">
        <v>123</v>
      </c>
      <c r="E50" t="s">
        <v>10</v>
      </c>
      <c r="F50" t="s">
        <v>54</v>
      </c>
      <c r="G50" t="s">
        <v>81</v>
      </c>
      <c r="H50" t="s">
        <v>124</v>
      </c>
    </row>
    <row r="51" x14ac:dyDescent="0.25">
      <c r="A51" t="n">
        <v>25</v>
      </c>
      <c r="B51" t="s">
        <v>8</v>
      </c>
      <c r="C51" s="2" t="s">
        <f>=HYPERLINK("https://main.knesset.gov.il/APPS/legislation/main/laws/2221520", "חוק הספריות הציבוריות, התשפ""ד-2024 ")</f>
        <v>125</v>
      </c>
      <c r="D51" t="s">
        <v>125</v>
      </c>
      <c r="E51" t="s">
        <v>10</v>
      </c>
      <c r="F51" t="s">
        <v>14</v>
      </c>
      <c r="G51" t="s">
        <v>15</v>
      </c>
      <c r="H51" t="s">
        <v>126</v>
      </c>
    </row>
    <row r="52" x14ac:dyDescent="0.25">
      <c r="A52" t="n">
        <v>25</v>
      </c>
      <c r="B52" t="s">
        <v>8</v>
      </c>
      <c r="C52" s="2" t="s">
        <f>=HYPERLINK("https://main.knesset.gov.il/APPS/legislation/main/laws/2221501", "חוק נטילת אמצעי זיהוי ביומטריים מזרים, הפקת נתוני זיהוי ביומטריים ומאגר מידע, התשפ""ד-2024")</f>
        <v>127</v>
      </c>
      <c r="D52" t="s">
        <v>127</v>
      </c>
      <c r="E52" t="s">
        <v>10</v>
      </c>
      <c r="F52" t="s">
        <v>114</v>
      </c>
      <c r="G52" t="s">
        <v>34</v>
      </c>
      <c r="H52" t="s">
        <v>128</v>
      </c>
    </row>
    <row r="53" x14ac:dyDescent="0.25">
      <c r="A53" t="n">
        <v>25</v>
      </c>
      <c r="B53" t="s">
        <v>8</v>
      </c>
      <c r="C53" s="2" t="s">
        <f>=HYPERLINK("https://main.knesset.gov.il/APPS/legislation/main/laws/2221495", "חוק הקמת מאגר מידע גנטי של כלבים, התשפ""ד–2024")</f>
        <v>129</v>
      </c>
      <c r="D53" t="s">
        <v>129</v>
      </c>
      <c r="E53" t="s">
        <v>10</v>
      </c>
      <c r="F53" t="s">
        <v>52</v>
      </c>
      <c r="G53" t="s">
        <v>81</v>
      </c>
      <c r="H53" t="s">
        <v>130</v>
      </c>
    </row>
    <row r="54" x14ac:dyDescent="0.25">
      <c r="A54" t="n">
        <v>25</v>
      </c>
      <c r="B54" t="s">
        <v>8</v>
      </c>
      <c r="C54" s="2" t="s">
        <f>=HYPERLINK("https://main.knesset.gov.il/APPS/legislation/main/laws/2221490", "חוק יום בריאות הנפש, התשפ""ד-2024")</f>
        <v>131</v>
      </c>
      <c r="D54" t="s">
        <v>131</v>
      </c>
      <c r="E54" t="s">
        <v>10</v>
      </c>
      <c r="F54" t="s">
        <v>132</v>
      </c>
      <c r="G54" t="s">
        <v>15</v>
      </c>
      <c r="H54" t="s">
        <v>130</v>
      </c>
    </row>
    <row r="55" x14ac:dyDescent="0.25">
      <c r="A55" t="n">
        <v>25</v>
      </c>
      <c r="B55" t="s">
        <v>8</v>
      </c>
      <c r="C55" s="2" t="s">
        <f>=HYPERLINK("https://main.knesset.gov.il/APPS/legislation/main/laws/2221380", "חוק ניוד מידע רפואי, התשפ""ד-2024")</f>
        <v>133</v>
      </c>
      <c r="D55" t="s">
        <v>133</v>
      </c>
      <c r="E55" t="s">
        <v>10</v>
      </c>
      <c r="F55" t="s">
        <v>132</v>
      </c>
      <c r="G55" t="s">
        <v>46</v>
      </c>
      <c r="H55" t="s">
        <v>134</v>
      </c>
    </row>
    <row r="56" x14ac:dyDescent="0.25">
      <c r="A56" t="n">
        <v>25</v>
      </c>
      <c r="B56" t="s">
        <v>8</v>
      </c>
      <c r="C56" s="2" t="s">
        <f>=HYPERLINK("https://main.knesset.gov.il/APPS/legislation/main/laws/2221270", "חוק הגישה לתוכן דיגיטלי לאחר פטירתו של אדם, התשפ""ד–2024")</f>
        <v>135</v>
      </c>
      <c r="D56" t="s">
        <v>135</v>
      </c>
      <c r="E56" t="s">
        <v>10</v>
      </c>
      <c r="F56" t="s">
        <v>54</v>
      </c>
      <c r="G56" t="s">
        <v>27</v>
      </c>
      <c r="H56" t="s">
        <v>136</v>
      </c>
    </row>
    <row r="57" x14ac:dyDescent="0.25">
      <c r="A57" t="n">
        <v>25</v>
      </c>
      <c r="B57" t="s">
        <v>8</v>
      </c>
      <c r="C57" s="2" t="s">
        <f>=HYPERLINK("https://main.knesset.gov.il/APPS/legislation/main/laws/2221054", "חוק מחיקת רישומים פליליים ומשטרתיים של יוצאי אתיופיה, התשפ""ד–2024")</f>
        <v>137</v>
      </c>
      <c r="D57" t="s">
        <v>137</v>
      </c>
      <c r="E57" t="s">
        <v>10</v>
      </c>
      <c r="F57" t="s">
        <v>110</v>
      </c>
      <c r="G57" t="s">
        <v>27</v>
      </c>
      <c r="H57" t="s">
        <v>138</v>
      </c>
    </row>
    <row r="58" x14ac:dyDescent="0.25">
      <c r="A58" t="n">
        <v>25</v>
      </c>
      <c r="B58" t="s">
        <v>8</v>
      </c>
      <c r="C58" s="2" t="s">
        <f>=HYPERLINK("https://main.knesset.gov.il/APPS/legislation/main/laws/2221053", "חוק הגנה על זכויות בדירת המשפחה של ילד שהורהו הומת בידי בן זוגו, התשפ""ד-2024")</f>
        <v>139</v>
      </c>
      <c r="D58" t="s">
        <v>139</v>
      </c>
      <c r="E58" t="s">
        <v>10</v>
      </c>
      <c r="F58" t="s">
        <v>54</v>
      </c>
      <c r="G58" t="s">
        <v>27</v>
      </c>
      <c r="H58" t="s">
        <v>138</v>
      </c>
    </row>
    <row r="59" x14ac:dyDescent="0.25">
      <c r="A59" t="n">
        <v>25</v>
      </c>
      <c r="B59" t="s">
        <v>8</v>
      </c>
      <c r="C59" s="2" t="s">
        <f>=HYPERLINK("https://main.knesset.gov.il/APPS/legislation/main/laws/2220348", "חוק יום לציון אירועי הפרהוד, התשפ""ד–2024")</f>
        <v>140</v>
      </c>
      <c r="D59" t="s">
        <v>140</v>
      </c>
      <c r="E59" t="s">
        <v>10</v>
      </c>
      <c r="F59" t="s">
        <v>141</v>
      </c>
      <c r="G59" t="s">
        <v>15</v>
      </c>
      <c r="H59" t="s">
        <v>142</v>
      </c>
    </row>
    <row r="60" x14ac:dyDescent="0.25">
      <c r="A60" t="n">
        <v>25</v>
      </c>
      <c r="B60" t="s">
        <v>8</v>
      </c>
      <c r="C60" s="2" t="s">
        <f>=HYPERLINK("https://main.knesset.gov.il/APPS/legislation/main/laws/2220343", "חוק הרשות לחקירה בטיחותית בתעופה, התשפ""ד-2024")</f>
        <v>143</v>
      </c>
      <c r="D60" t="s">
        <v>143</v>
      </c>
      <c r="E60" t="s">
        <v>10</v>
      </c>
      <c r="F60" t="s">
        <v>144</v>
      </c>
      <c r="G60" t="s">
        <v>81</v>
      </c>
      <c r="H60" t="s">
        <v>145</v>
      </c>
    </row>
    <row r="61" x14ac:dyDescent="0.25">
      <c r="A61" t="n">
        <v>25</v>
      </c>
      <c r="B61" t="s">
        <v>8</v>
      </c>
      <c r="C61" s="2" t="s">
        <f>=HYPERLINK("https://main.knesset.gov.il/APPS/legislation/main/laws/2219974", "חוק הרשויות המקומיות (מימון בחירות) (הוראת שעה), התשפ""ד–2024")</f>
        <v>146</v>
      </c>
      <c r="D61" t="s">
        <v>146</v>
      </c>
      <c r="E61" t="s">
        <v>10</v>
      </c>
      <c r="F61" t="s">
        <v>114</v>
      </c>
      <c r="G61" t="s">
        <v>34</v>
      </c>
      <c r="H61" t="s">
        <v>147</v>
      </c>
    </row>
    <row r="62" x14ac:dyDescent="0.25">
      <c r="A62" t="n">
        <v>25</v>
      </c>
      <c r="B62" t="s">
        <v>8</v>
      </c>
      <c r="C62" s="2" t="s">
        <f>=HYPERLINK("https://main.knesset.gov.il/APPS/legislation/main/laws/2219234", "חוק יום האחדות, התשפ""ד-2024")</f>
        <v>148</v>
      </c>
      <c r="D62" t="s">
        <v>148</v>
      </c>
      <c r="E62" t="s">
        <v>10</v>
      </c>
      <c r="F62" t="s">
        <v>141</v>
      </c>
      <c r="G62" t="s">
        <v>15</v>
      </c>
      <c r="H62" t="s">
        <v>149</v>
      </c>
    </row>
    <row r="63" x14ac:dyDescent="0.25">
      <c r="A63" t="n">
        <v>25</v>
      </c>
      <c r="B63" t="s">
        <v>8</v>
      </c>
      <c r="C63" s="2" t="s">
        <f>=HYPERLINK("https://main.knesset.gov.il/APPS/legislation/main/laws/2218304", "חוק להסדרת אירוע הילולת רבי שמעון בר יוחאי בהר מירון (הוראת שעה), התשפ""ד–2024 ")</f>
        <v>150</v>
      </c>
      <c r="D63" t="s">
        <v>150</v>
      </c>
      <c r="E63" t="s">
        <v>77</v>
      </c>
      <c r="F63" t="s">
        <v>78</v>
      </c>
      <c r="G63" t="s">
        <v>23</v>
      </c>
      <c r="H63" t="s">
        <v>151</v>
      </c>
    </row>
    <row r="64" x14ac:dyDescent="0.25">
      <c r="A64" t="n">
        <v>25</v>
      </c>
      <c r="B64" t="s">
        <v>8</v>
      </c>
      <c r="C64" s="2" t="s">
        <f>=HYPERLINK("https://main.knesset.gov.il/APPS/legislation/main/laws/2217455", "חוק מגבלות על חזרתו של מורשע במעשה טרור לסביבת נפגעי העבירה, התשפ""ד-2024")</f>
        <v>152</v>
      </c>
      <c r="D64" t="s">
        <v>152</v>
      </c>
      <c r="E64" t="s">
        <v>10</v>
      </c>
      <c r="F64" t="s">
        <v>54</v>
      </c>
      <c r="G64" t="s">
        <v>23</v>
      </c>
      <c r="H64" t="s">
        <v>153</v>
      </c>
    </row>
    <row r="65" x14ac:dyDescent="0.25">
      <c r="A65" t="n">
        <v>25</v>
      </c>
      <c r="B65" t="s">
        <v>8</v>
      </c>
      <c r="C65" s="2" t="s">
        <f>=HYPERLINK("https://main.knesset.gov.il/APPS/legislation/main/laws/2217248", "חוק מניעת פגיעת גוף שידורים זר בביטחון המדינה (הוראת שעה – חרבות ברזל), התשפ""ד-2024")</f>
        <v>154</v>
      </c>
      <c r="D65" t="s">
        <v>154</v>
      </c>
      <c r="E65" t="s">
        <v>77</v>
      </c>
      <c r="F65" t="s">
        <v>64</v>
      </c>
      <c r="G65" t="s">
        <v>23</v>
      </c>
      <c r="H65" t="s">
        <v>155</v>
      </c>
    </row>
    <row r="66" x14ac:dyDescent="0.25">
      <c r="A66" t="n">
        <v>25</v>
      </c>
      <c r="B66" t="s">
        <v>8</v>
      </c>
      <c r="C66" s="2" t="s">
        <f>=HYPERLINK("https://main.knesset.gov.il/APPS/legislation/main/laws/2216821", "חוק יום משפחות היתומים בישראל, התשפ""ד–2024")</f>
        <v>156</v>
      </c>
      <c r="D66" t="s">
        <v>156</v>
      </c>
      <c r="E66" t="s">
        <v>10</v>
      </c>
      <c r="F66" t="s">
        <v>14</v>
      </c>
      <c r="G66" t="s">
        <v>15</v>
      </c>
      <c r="H66" t="s">
        <v>157</v>
      </c>
    </row>
    <row r="67" x14ac:dyDescent="0.25">
      <c r="A67" t="n">
        <v>25</v>
      </c>
      <c r="B67" t="s">
        <v>8</v>
      </c>
      <c r="C67" s="2" t="s">
        <f>=HYPERLINK("https://main.knesset.gov.il/APPS/legislation/main/laws/2216820", "תקציב נוסף לשנת הכספים 2024")</f>
        <v>158</v>
      </c>
      <c r="D67" t="s">
        <v>158</v>
      </c>
      <c r="E67" t="s">
        <v>159</v>
      </c>
      <c r="F67" t="s">
        <v>18</v>
      </c>
      <c r="G67" t="s">
        <v>19</v>
      </c>
      <c r="H67" t="s">
        <v>157</v>
      </c>
    </row>
    <row r="68" x14ac:dyDescent="0.25">
      <c r="A68" t="n">
        <v>25</v>
      </c>
      <c r="B68" t="s">
        <v>8</v>
      </c>
      <c r="C68" s="2" t="s">
        <f>=HYPERLINK("https://main.knesset.gov.il/APPS/legislation/main/laws/2216637", "חוק הקפאה והפחתה של דמי הבראה בשנת 2024 לשם תקצוב הטבות לחיילי מילואים, התשפ""ד-2024")</f>
        <v>160</v>
      </c>
      <c r="D68" t="s">
        <v>160</v>
      </c>
      <c r="E68" t="s">
        <v>10</v>
      </c>
      <c r="F68" t="s">
        <v>18</v>
      </c>
      <c r="G68" t="s">
        <v>42</v>
      </c>
      <c r="H68" t="s">
        <v>161</v>
      </c>
    </row>
    <row r="69" x14ac:dyDescent="0.25">
      <c r="A69" t="n">
        <v>25</v>
      </c>
      <c r="B69" t="s">
        <v>8</v>
      </c>
      <c r="C69" s="2" t="s">
        <f>=HYPERLINK("https://main.knesset.gov.il/APPS/legislation/main/laws/2216511", "חוק תשלום מיוחד לשם השגת יעדי התקציב (הוראת שעה – חרבות ברזל), התשפ""ד–2024 ")</f>
        <v>162</v>
      </c>
      <c r="D69" t="s">
        <v>162</v>
      </c>
      <c r="E69" t="s">
        <v>10</v>
      </c>
      <c r="F69" t="s">
        <v>18</v>
      </c>
      <c r="G69" t="s">
        <v>19</v>
      </c>
      <c r="H69" t="s">
        <v>163</v>
      </c>
    </row>
    <row r="70" x14ac:dyDescent="0.25">
      <c r="A70" t="n">
        <v>25</v>
      </c>
      <c r="B70" t="s">
        <v>8</v>
      </c>
      <c r="C70" s="2" t="s">
        <f>=HYPERLINK("https://main.knesset.gov.il/APPS/legislation/main/laws/2216497", "חוק לפיצוי קורבנות טרור (פיצויים לדוגמה), התשפ""ד-2024")</f>
        <v>164</v>
      </c>
      <c r="D70" t="s">
        <v>164</v>
      </c>
      <c r="E70" t="s">
        <v>10</v>
      </c>
      <c r="F70" t="s">
        <v>52</v>
      </c>
      <c r="G70" t="s">
        <v>11</v>
      </c>
      <c r="H70" t="s">
        <v>165</v>
      </c>
    </row>
    <row r="71" x14ac:dyDescent="0.25">
      <c r="A71" t="n">
        <v>25</v>
      </c>
      <c r="B71" t="s">
        <v>8</v>
      </c>
      <c r="C71" s="2" t="s">
        <f>=HYPERLINK("https://main.knesset.gov.il/APPS/legislation/main/laws/2215833", "חוק זכויות הדייר בדיור הציבורי (הוראת שעה – חרבות ברזל) (דייר ממשיך מיוחד), התשפ""ד-2024")</f>
        <v>166</v>
      </c>
      <c r="D71" t="s">
        <v>166</v>
      </c>
      <c r="E71" t="s">
        <v>10</v>
      </c>
      <c r="F71" t="s">
        <v>167</v>
      </c>
      <c r="G71" t="s">
        <v>34</v>
      </c>
      <c r="H71" t="s">
        <v>168</v>
      </c>
    </row>
    <row r="72" x14ac:dyDescent="0.25">
      <c r="A72" t="n">
        <v>25</v>
      </c>
      <c r="B72" t="s">
        <v>8</v>
      </c>
      <c r="C72" s="2" t="s">
        <f>=HYPERLINK("https://main.knesset.gov.il/APPS/legislation/main/laws/2215271", "חוק הבוררות המסחרית הבין-לאומית, התשפ""ד-2024")</f>
        <v>169</v>
      </c>
      <c r="D72" t="s">
        <v>169</v>
      </c>
      <c r="E72" t="s">
        <v>10</v>
      </c>
      <c r="F72" t="s">
        <v>54</v>
      </c>
      <c r="G72" t="s">
        <v>27</v>
      </c>
      <c r="H72" t="s">
        <v>170</v>
      </c>
    </row>
    <row r="73" x14ac:dyDescent="0.25">
      <c r="A73" t="n">
        <v>25</v>
      </c>
      <c r="B73" t="s">
        <v>8</v>
      </c>
      <c r="C73" s="2" t="s">
        <f>=HYPERLINK("https://main.knesset.gov.il/APPS/legislation/main/laws/2212973", "חוק התמודדות עם תקיפות סייבר חמורות במגזר השירותים הדיגיטליים ושירותי האחסון (הוראת שעה), התשפ""ד-2023")</f>
        <v>171</v>
      </c>
      <c r="D73" t="s">
        <v>171</v>
      </c>
      <c r="E73" t="s">
        <v>10</v>
      </c>
      <c r="F73" t="s">
        <v>52</v>
      </c>
      <c r="G73" t="s">
        <v>11</v>
      </c>
      <c r="H73" t="s">
        <v>172</v>
      </c>
    </row>
    <row r="74" x14ac:dyDescent="0.25">
      <c r="A74" t="n">
        <v>25</v>
      </c>
      <c r="B74" t="s">
        <v>8</v>
      </c>
      <c r="C74" s="2" t="s">
        <f>=HYPERLINK("https://main.knesset.gov.il/APPS/legislation/main/laws/2212703", "תקציב נוסף לשנת הכספים 2023")</f>
        <v>173</v>
      </c>
      <c r="D74" t="s">
        <v>173</v>
      </c>
      <c r="E74" t="s">
        <v>174</v>
      </c>
      <c r="F74" t="s">
        <v>18</v>
      </c>
      <c r="G74" t="s">
        <v>19</v>
      </c>
      <c r="H74" t="s">
        <v>175</v>
      </c>
    </row>
    <row r="75" x14ac:dyDescent="0.25">
      <c r="A75" t="n">
        <v>25</v>
      </c>
      <c r="B75" t="s">
        <v>8</v>
      </c>
      <c r="C75" s="2" t="s">
        <f>=HYPERLINK("https://main.knesset.gov.il/APPS/legislation/main/laws/2212578", "חוק קיום דיונים בהיוועדות חזותית בהשתתפות עצורים, אסירים וכלואים (הוראת שעה – חרבות ברזל), התשפ""ד-2023")</f>
        <v>176</v>
      </c>
      <c r="D75" t="s">
        <v>176</v>
      </c>
      <c r="E75" t="s">
        <v>10</v>
      </c>
      <c r="F75" t="s">
        <v>54</v>
      </c>
      <c r="G75" t="s">
        <v>27</v>
      </c>
      <c r="H75" t="s">
        <v>177</v>
      </c>
    </row>
    <row r="76" x14ac:dyDescent="0.25">
      <c r="A76" t="n">
        <v>25</v>
      </c>
      <c r="B76" t="s">
        <v>8</v>
      </c>
      <c r="C76" s="2" t="s">
        <f>=HYPERLINK("https://main.knesset.gov.il/APPS/legislation/main/laws/2212281", "חוק הסמכת צבא הגנה לישראל ושירות הביטחון הכללי לביצוע חדירה לחומר מחשב המשמש להפעלת מצלמה נייחת ופעולה בו (הוראת שעה), התשפ""ד-2023")</f>
        <v>178</v>
      </c>
      <c r="D76" t="s">
        <v>178</v>
      </c>
      <c r="E76" t="s">
        <v>10</v>
      </c>
      <c r="F76" t="s">
        <v>52</v>
      </c>
      <c r="G76" t="s">
        <v>11</v>
      </c>
      <c r="H76" t="s">
        <v>179</v>
      </c>
    </row>
    <row r="77" x14ac:dyDescent="0.25">
      <c r="A77" t="n">
        <v>25</v>
      </c>
      <c r="B77" t="s">
        <v>8</v>
      </c>
      <c r="C77" s="2" t="s">
        <f>=HYPERLINK("https://main.knesset.gov.il/APPS/legislation/main/laws/2212050", "חוק הארכת תקופות ודחיית מועדים (הוראת שעה – חרבות ברזל) (הליכי מס ומענקי סיוע), התשפ""ד-2023 ")</f>
        <v>180</v>
      </c>
      <c r="D77" t="s">
        <v>180</v>
      </c>
      <c r="E77" t="s">
        <v>10</v>
      </c>
      <c r="F77" t="s">
        <v>18</v>
      </c>
      <c r="G77" t="s">
        <v>19</v>
      </c>
      <c r="H77" t="s">
        <v>181</v>
      </c>
    </row>
    <row r="78" x14ac:dyDescent="0.25">
      <c r="A78" t="n">
        <v>25</v>
      </c>
      <c r="B78" t="s">
        <v>8</v>
      </c>
      <c r="C78" s="2" t="s">
        <f>=HYPERLINK("https://main.knesset.gov.il/APPS/legislation/main/laws/2211851", "חוק הארכת תקופות ודחיית מועדים (הוראת שעה – חרבות ברזל) (סדרי מינהל, תקופות כהונה ותאגידים), התשפ""ד-2023")</f>
        <v>182</v>
      </c>
      <c r="D78" t="s">
        <v>182</v>
      </c>
      <c r="E78" t="s">
        <v>10</v>
      </c>
      <c r="F78" t="s">
        <v>54</v>
      </c>
      <c r="G78" t="s">
        <v>27</v>
      </c>
      <c r="H78" t="s">
        <v>183</v>
      </c>
    </row>
    <row r="79" x14ac:dyDescent="0.25">
      <c r="A79" t="n">
        <v>25</v>
      </c>
      <c r="B79" t="s">
        <v>8</v>
      </c>
      <c r="C79" s="2" t="s">
        <f>=HYPERLINK("https://main.knesset.gov.il/APPS/legislation/main/laws/2211627", "חוק הארכת תקופות ודחיית מועדים (הוראת שעה – חרבות ברזל) (תכנון ובנייה ומקרקעי ציבור), התשפ""ד-2023")</f>
        <v>184</v>
      </c>
      <c r="D79" t="s">
        <v>184</v>
      </c>
      <c r="E79" t="s">
        <v>10</v>
      </c>
      <c r="F79" t="s">
        <v>114</v>
      </c>
      <c r="G79" t="s">
        <v>34</v>
      </c>
      <c r="H79" t="s">
        <v>185</v>
      </c>
    </row>
    <row r="80" x14ac:dyDescent="0.25">
      <c r="A80" t="n">
        <v>25</v>
      </c>
      <c r="B80" t="s">
        <v>8</v>
      </c>
      <c r="C80" s="2" t="s">
        <f>=HYPERLINK("https://main.knesset.gov.il/APPS/legislation/main/laws/2211626", "חוק הענקת אזרחות כבוד לחללי מערכות ישראל, התשפ""ד-2023")</f>
        <v>186</v>
      </c>
      <c r="D80" t="s">
        <v>186</v>
      </c>
      <c r="E80" t="s">
        <v>10</v>
      </c>
      <c r="F80" t="s">
        <v>114</v>
      </c>
      <c r="G80" t="s">
        <v>34</v>
      </c>
      <c r="H80" t="s">
        <v>185</v>
      </c>
    </row>
    <row r="81" x14ac:dyDescent="0.25">
      <c r="A81" t="n">
        <v>25</v>
      </c>
      <c r="B81" t="s">
        <v>8</v>
      </c>
      <c r="C81" s="2" t="s">
        <f>=HYPERLINK("https://main.knesset.gov.il/APPS/legislation/main/laws/2211612", "חוק קיום דיונים בהיוועדות חזותית בהשתתפות עצורים ואסירים (הוראת שעה – חרבות ברזל), התשפ""ד-2023")</f>
        <v>187</v>
      </c>
      <c r="D81" t="s">
        <v>187</v>
      </c>
      <c r="E81" t="s">
        <v>159</v>
      </c>
      <c r="F81" t="s">
        <v>52</v>
      </c>
      <c r="G81" t="s">
        <v>8</v>
      </c>
      <c r="H81" t="s">
        <v>188</v>
      </c>
    </row>
    <row r="82" x14ac:dyDescent="0.25">
      <c r="A82" t="n">
        <v>25</v>
      </c>
      <c r="B82" t="s">
        <v>8</v>
      </c>
      <c r="C82" s="2" t="s">
        <f>=HYPERLINK("https://main.knesset.gov.il/APPS/legislation/main/laws/2211611", "חוק חינוך מיוחד (הוראת שעה – חרבות ברזל) (הארכת זכאות), התשפ""ד-2023 ")</f>
        <v>189</v>
      </c>
      <c r="D82" t="s">
        <v>189</v>
      </c>
      <c r="E82" t="s">
        <v>10</v>
      </c>
      <c r="F82" t="s">
        <v>141</v>
      </c>
      <c r="G82" t="s">
        <v>15</v>
      </c>
      <c r="H82" t="s">
        <v>190</v>
      </c>
    </row>
    <row r="83" x14ac:dyDescent="0.25">
      <c r="A83" t="n">
        <v>25</v>
      </c>
      <c r="B83" t="s">
        <v>8</v>
      </c>
      <c r="C83" s="2" t="s">
        <f>=HYPERLINK("https://main.knesset.gov.il/APPS/legislation/main/laws/2211537", "חוק הארכת תקופות (הוראת שעה – חרבות ברזל) (אומנה לילדים), התשפ""ד-2023 ")</f>
        <v>191</v>
      </c>
      <c r="D83" t="s">
        <v>191</v>
      </c>
      <c r="E83" t="s">
        <v>10</v>
      </c>
      <c r="F83" t="s">
        <v>74</v>
      </c>
      <c r="G83" t="s">
        <v>42</v>
      </c>
      <c r="H83" t="s">
        <v>190</v>
      </c>
    </row>
    <row r="84" x14ac:dyDescent="0.25">
      <c r="A84" t="n">
        <v>25</v>
      </c>
      <c r="B84" t="s">
        <v>8</v>
      </c>
      <c r="C84" s="2" t="s">
        <f>=HYPERLINK("https://main.knesset.gov.il/APPS/legislation/main/laws/2211393", "חוק התוכנית לסיוע כלכלי (הוראת שעה – חרבות ברזל), התשפ""ד-2023")</f>
        <v>192</v>
      </c>
      <c r="D84" t="s">
        <v>192</v>
      </c>
      <c r="E84" t="s">
        <v>10</v>
      </c>
      <c r="F84" t="s">
        <v>18</v>
      </c>
      <c r="G84" t="s">
        <v>19</v>
      </c>
      <c r="H84" t="s">
        <v>193</v>
      </c>
    </row>
    <row r="85" x14ac:dyDescent="0.25">
      <c r="A85" t="n">
        <v>25</v>
      </c>
      <c r="B85" t="s">
        <v>8</v>
      </c>
      <c r="C85" s="2" t="s">
        <f>=HYPERLINK("https://main.knesset.gov.il/APPS/legislation/main/laws/2211363", "חוק העברת מידע לצורך זיהוי או אימות זהות של אדם לרבות גופה, ואיתור נעדר או שבוי, הנדרשים בשל פעולות האיבה או פעולות המלחמה (הוראות שעה – חרבות ברזל), התשפ""ד-2023")</f>
        <v>194</v>
      </c>
      <c r="D85" t="s">
        <v>194</v>
      </c>
      <c r="E85" t="s">
        <v>10</v>
      </c>
      <c r="F85" t="s">
        <v>195</v>
      </c>
      <c r="G85" t="s">
        <v>196</v>
      </c>
      <c r="H85" t="s">
        <v>197</v>
      </c>
    </row>
    <row r="86" x14ac:dyDescent="0.25">
      <c r="A86" t="n">
        <v>25</v>
      </c>
      <c r="B86" t="s">
        <v>8</v>
      </c>
      <c r="C86" s="2" t="s">
        <f>=HYPERLINK("https://main.knesset.gov.il/APPS/legislation/main/laws/2214780", "תקנות שעת חירום (חרבות ברזל) (הארכת מעצר לחשוד בעבירת ביטחון), התשפ""ד-2023")</f>
        <v>198</v>
      </c>
      <c r="D86" t="s">
        <v>198</v>
      </c>
      <c r="E86" t="s">
        <v>10</v>
      </c>
      <c r="F86" t="s">
        <v>52</v>
      </c>
      <c r="G86" t="s">
        <v>27</v>
      </c>
      <c r="H86" t="s">
        <v>199</v>
      </c>
    </row>
    <row r="87" x14ac:dyDescent="0.25">
      <c r="A87" t="n">
        <v>25</v>
      </c>
      <c r="B87" t="s">
        <v>8</v>
      </c>
      <c r="C87" s="2" t="s">
        <f>=HYPERLINK("https://main.knesset.gov.il/APPS/legislation/main/laws/2211288", "חוק תגמולים לבני משפחה של חטופים ונעדרים בפעולת איבה, התשפ""ד–2023")</f>
        <v>200</v>
      </c>
      <c r="D87" t="s">
        <v>200</v>
      </c>
      <c r="E87" t="s">
        <v>10</v>
      </c>
      <c r="F87" t="s">
        <v>26</v>
      </c>
      <c r="G87" t="s">
        <v>42</v>
      </c>
      <c r="H87" t="s">
        <v>199</v>
      </c>
    </row>
    <row r="88" x14ac:dyDescent="0.25">
      <c r="A88" t="n">
        <v>25</v>
      </c>
      <c r="B88" t="s">
        <v>8</v>
      </c>
      <c r="C88" s="2" t="s">
        <f>=HYPERLINK("https://main.knesset.gov.il/APPS/legislation/main/laws/2211134", "חוק הגנה על מענקים מיוחדים (חרבות ברזל), התשפ""ד-2023")</f>
        <v>201</v>
      </c>
      <c r="D88" t="s">
        <v>201</v>
      </c>
      <c r="E88" t="s">
        <v>10</v>
      </c>
      <c r="F88" t="s">
        <v>52</v>
      </c>
      <c r="G88" t="s">
        <v>19</v>
      </c>
      <c r="H88" t="s">
        <v>202</v>
      </c>
    </row>
    <row r="89" x14ac:dyDescent="0.25">
      <c r="A89" t="n">
        <v>25</v>
      </c>
      <c r="B89" t="s">
        <v>8</v>
      </c>
      <c r="C89" s="2" t="s">
        <f>=HYPERLINK("https://main.knesset.gov.il/APPS/legislation/main/laws/2210880", "חוק הארכת תקופות ודחיית מועדים (הוראת שעה – חרבות ברזל) (אישורים רגולטוריים, עיצומים כספיים ובדיקות מיתקני גז), התשפ""ד-2023")</f>
        <v>203</v>
      </c>
      <c r="D89" t="s">
        <v>203</v>
      </c>
      <c r="E89" t="s">
        <v>10</v>
      </c>
      <c r="F89" t="s">
        <v>64</v>
      </c>
      <c r="G89" t="s">
        <v>27</v>
      </c>
      <c r="H89" t="s">
        <v>204</v>
      </c>
    </row>
    <row r="90" x14ac:dyDescent="0.25">
      <c r="A90" t="n">
        <v>25</v>
      </c>
      <c r="B90" t="s">
        <v>8</v>
      </c>
      <c r="C90" s="2" t="s">
        <f>=HYPERLINK("https://main.knesset.gov.il/APPS/legislation/main/laws/2210815", "חוק לדחיית הבחירות הכלליות לרשויות המקומיות, התשפ""ד-2023")</f>
        <v>205</v>
      </c>
      <c r="D90" t="s">
        <v>205</v>
      </c>
      <c r="E90" t="s">
        <v>10</v>
      </c>
      <c r="F90" t="s">
        <v>206</v>
      </c>
      <c r="G90" t="s">
        <v>34</v>
      </c>
      <c r="H90" t="s">
        <v>207</v>
      </c>
    </row>
    <row r="91" x14ac:dyDescent="0.25">
      <c r="A91" t="n">
        <v>25</v>
      </c>
      <c r="B91" t="s">
        <v>8</v>
      </c>
      <c r="C91" s="2" t="s">
        <f>=HYPERLINK("https://main.knesset.gov.il/APPS/legislation/main/laws/2210812", "חוק אמנת הבנק האסייני לפיתוח, התשפ""ד-2023")</f>
        <v>208</v>
      </c>
      <c r="D91" t="s">
        <v>208</v>
      </c>
      <c r="E91" t="s">
        <v>10</v>
      </c>
      <c r="F91" t="s">
        <v>18</v>
      </c>
      <c r="G91" t="s">
        <v>19</v>
      </c>
      <c r="H91" t="s">
        <v>207</v>
      </c>
    </row>
    <row r="92" x14ac:dyDescent="0.25">
      <c r="A92" t="n">
        <v>25</v>
      </c>
      <c r="B92" t="s">
        <v>8</v>
      </c>
      <c r="C92" s="2" t="s">
        <f>=HYPERLINK("https://main.knesset.gov.il/APPS/legislation/main/laws/2210693", "חוק דחיית מועדים (הוראת שעה – חרבות ברזל) (חוזה, פסק דין או תשלום לרשות), התשפ""ד-2023")</f>
        <v>209</v>
      </c>
      <c r="D92" t="s">
        <v>209</v>
      </c>
      <c r="E92" t="s">
        <v>10</v>
      </c>
      <c r="F92" t="s">
        <v>54</v>
      </c>
      <c r="G92" t="s">
        <v>27</v>
      </c>
      <c r="H92" t="s">
        <v>210</v>
      </c>
    </row>
    <row r="93" x14ac:dyDescent="0.25">
      <c r="A93" t="n">
        <v>25</v>
      </c>
      <c r="B93" t="s">
        <v>8</v>
      </c>
      <c r="C93" s="2" t="s">
        <f>=HYPERLINK("https://main.knesset.gov.il/APPS/legislation/main/laws/2213979", "תקנות שעת חירום (חרבות ברזל) (פגישה עם עורך דין של עצור בעבירת ביטחון), התשפ""ד-2023")</f>
        <v>211</v>
      </c>
      <c r="D93" t="s">
        <v>211</v>
      </c>
      <c r="E93" t="s">
        <v>10</v>
      </c>
      <c r="F93" t="s">
        <v>52</v>
      </c>
      <c r="G93" t="s">
        <v>27</v>
      </c>
      <c r="H93" t="s">
        <v>212</v>
      </c>
    </row>
    <row r="94" x14ac:dyDescent="0.25">
      <c r="A94" t="n">
        <v>25</v>
      </c>
      <c r="B94" t="s">
        <v>8</v>
      </c>
      <c r="C94" s="2" t="s">
        <f>=HYPERLINK("https://main.knesset.gov.il/APPS/legislation/main/laws/2209913", "תקציב המדינה לשנת הכספים 2024")</f>
        <v>213</v>
      </c>
      <c r="D94" t="s">
        <v>213</v>
      </c>
      <c r="E94" t="s">
        <v>159</v>
      </c>
      <c r="F94" t="s">
        <v>18</v>
      </c>
      <c r="G94" t="s">
        <v>19</v>
      </c>
      <c r="H94" t="s">
        <v>214</v>
      </c>
    </row>
    <row r="95" x14ac:dyDescent="0.25">
      <c r="A95" t="n">
        <v>25</v>
      </c>
      <c r="B95" t="s">
        <v>8</v>
      </c>
      <c r="C95" s="2" t="s">
        <f>=HYPERLINK("https://main.knesset.gov.il/APPS/legislation/main/laws/2209849", "חוק למניעת העסקה במוסדות מסוימים של מי שהורשע באלימות כלפי ילדים וחסרי ישע, התשפ""ג-2023")</f>
        <v>215</v>
      </c>
      <c r="D95" t="s">
        <v>215</v>
      </c>
      <c r="E95" t="s">
        <v>10</v>
      </c>
      <c r="F95" t="s">
        <v>110</v>
      </c>
      <c r="G95" t="s">
        <v>216</v>
      </c>
      <c r="H95" t="s">
        <v>217</v>
      </c>
    </row>
    <row r="96" x14ac:dyDescent="0.25">
      <c r="A96" t="n">
        <v>25</v>
      </c>
      <c r="B96" t="s">
        <v>8</v>
      </c>
      <c r="C96" s="2" t="s">
        <f>=HYPERLINK("https://main.knesset.gov.il/APPS/legislation/main/laws/2209817", "חוק לעידוד תעשייה עתירת ידע (הוראת שעה), התשפ""ג-2023")</f>
        <v>218</v>
      </c>
      <c r="D96" t="s">
        <v>218</v>
      </c>
      <c r="E96" t="s">
        <v>10</v>
      </c>
      <c r="F96" t="s">
        <v>18</v>
      </c>
      <c r="G96" t="s">
        <v>19</v>
      </c>
      <c r="H96" t="s">
        <v>219</v>
      </c>
    </row>
    <row r="97" x14ac:dyDescent="0.25">
      <c r="A97" t="n">
        <v>25</v>
      </c>
      <c r="B97" t="s">
        <v>8</v>
      </c>
      <c r="C97" s="2" t="s">
        <f>=HYPERLINK("https://main.knesset.gov.il/APPS/legislation/main/laws/2208507", "חוק הרבנות הראשית לישראל (הארכת כהונה של הרבנים הראשיים לישראל ושל חברי מועצת הרבנות הראשית לישראל והוראות נוספות) (הוראת שעה), התשפ""ג-2023")</f>
        <v>220</v>
      </c>
      <c r="D97" t="s">
        <v>220</v>
      </c>
      <c r="E97" t="s">
        <v>10</v>
      </c>
      <c r="F97" t="s">
        <v>98</v>
      </c>
      <c r="G97" t="s">
        <v>27</v>
      </c>
      <c r="H97" t="s">
        <v>221</v>
      </c>
    </row>
    <row r="98" x14ac:dyDescent="0.25">
      <c r="A98" t="n">
        <v>25</v>
      </c>
      <c r="B98" t="s">
        <v>8</v>
      </c>
      <c r="C98" s="2" t="s">
        <f>=HYPERLINK("https://main.knesset.gov.il/APPS/legislation/main/laws/2207971", "תקציב המדינה לשנת הכספים 2023")</f>
        <v>222</v>
      </c>
      <c r="D98" t="s">
        <v>222</v>
      </c>
      <c r="E98" t="s">
        <v>159</v>
      </c>
      <c r="F98" t="s">
        <v>18</v>
      </c>
      <c r="G98" t="s">
        <v>8</v>
      </c>
      <c r="H98" t="s">
        <v>223</v>
      </c>
    </row>
    <row r="99" x14ac:dyDescent="0.25">
      <c r="A99" t="n">
        <v>25</v>
      </c>
      <c r="B99" t="s">
        <v>8</v>
      </c>
      <c r="C99" s="2" t="s">
        <f>=HYPERLINK("https://main.knesset.gov.il/APPS/legislation/main/laws/2206762", "חוק הרשויות המקומיות (הקרן להרחבת ההשקעה בתושב ולהגדלת היצע הדיור), התשפ""ג-2023")</f>
        <v>224</v>
      </c>
      <c r="D99" t="s">
        <v>224</v>
      </c>
      <c r="E99" t="s">
        <v>10</v>
      </c>
      <c r="F99" t="s">
        <v>225</v>
      </c>
      <c r="G99" t="s">
        <v>19</v>
      </c>
      <c r="H99" t="s">
        <v>226</v>
      </c>
    </row>
    <row r="100" x14ac:dyDescent="0.25">
      <c r="A100" t="n">
        <v>25</v>
      </c>
      <c r="B100" t="s">
        <v>8</v>
      </c>
      <c r="C100" s="2" t="s">
        <f>=HYPERLINK("https://main.knesset.gov.il/APPS/legislation/main/laws/2206732", "חוק הסדרת העיסוק בשירותי תשלום וייזום תשלום, התשפ""ג-2023")</f>
        <v>227</v>
      </c>
      <c r="D100" t="s">
        <v>227</v>
      </c>
      <c r="E100" t="s">
        <v>10</v>
      </c>
      <c r="F100" t="s">
        <v>18</v>
      </c>
      <c r="G100" t="s">
        <v>81</v>
      </c>
      <c r="H100" t="s">
        <v>226</v>
      </c>
    </row>
    <row r="101" x14ac:dyDescent="0.25">
      <c r="A101" t="n">
        <v>25</v>
      </c>
      <c r="B101" t="s">
        <v>8</v>
      </c>
      <c r="C101" s="2" t="s">
        <f>=HYPERLINK("https://main.knesset.gov.il/APPS/legislation/main/laws/2206721", "חוק לקידום תשתיות לאומיות, התשפ""ג-2023")</f>
        <v>228</v>
      </c>
      <c r="D101" t="s">
        <v>228</v>
      </c>
      <c r="E101" t="s">
        <v>10</v>
      </c>
      <c r="F101" t="s">
        <v>18</v>
      </c>
      <c r="G101" t="s">
        <v>34</v>
      </c>
      <c r="H101" t="s">
        <v>226</v>
      </c>
    </row>
    <row r="102" x14ac:dyDescent="0.25">
      <c r="A102" t="n">
        <v>25</v>
      </c>
      <c r="B102" t="s">
        <v>8</v>
      </c>
      <c r="C102" s="2" t="s">
        <f>=HYPERLINK("https://main.knesset.gov.il/APPS/legislation/main/laws/2206711", "חוק התוכנית הכלכלית (תיקוני חקיקה ליישום המדיניות הכלכלית לשנות התקציב 2023 ו-2024), התשפ""ג-2023")</f>
        <v>229</v>
      </c>
      <c r="D102" t="s">
        <v>229</v>
      </c>
      <c r="E102" t="s">
        <v>10</v>
      </c>
      <c r="F102" t="s">
        <v>18</v>
      </c>
      <c r="G102" t="s">
        <v>19</v>
      </c>
      <c r="H102" t="s">
        <v>226</v>
      </c>
    </row>
    <row r="103" x14ac:dyDescent="0.25">
      <c r="A103" t="n">
        <v>25</v>
      </c>
      <c r="B103" t="s">
        <v>8</v>
      </c>
      <c r="C103" s="2" t="s">
        <f>=HYPERLINK("https://main.knesset.gov.il/APPS/legislation/main/laws/2206321", "חוק ההתייעלות הכלכלית (תיקוני חקיקה להשגת יעדי התקציב לשנות התקציב 2023 ו-2024), התשפ""ג-2023")</f>
        <v>230</v>
      </c>
      <c r="D103" t="s">
        <v>230</v>
      </c>
      <c r="E103" t="s">
        <v>10</v>
      </c>
      <c r="F103" t="s">
        <v>18</v>
      </c>
      <c r="G103" t="s">
        <v>19</v>
      </c>
      <c r="H103" t="s">
        <v>231</v>
      </c>
    </row>
    <row r="104" x14ac:dyDescent="0.25">
      <c r="A104" t="n">
        <v>25</v>
      </c>
      <c r="B104" t="s">
        <v>8</v>
      </c>
      <c r="C104" s="2" t="s">
        <f>=HYPERLINK("https://main.knesset.gov.il/APPS/legislation/main/laws/2206107", "חוק ההתאמות הפיסקליות, התשפ""ג-2023")</f>
        <v>232</v>
      </c>
      <c r="D104" t="s">
        <v>232</v>
      </c>
      <c r="E104" t="s">
        <v>10</v>
      </c>
      <c r="F104" t="s">
        <v>18</v>
      </c>
      <c r="G104" t="s">
        <v>19</v>
      </c>
      <c r="H104" t="s">
        <v>233</v>
      </c>
    </row>
    <row r="105" x14ac:dyDescent="0.25">
      <c r="A105" t="n">
        <v>25</v>
      </c>
      <c r="B105" t="s">
        <v>8</v>
      </c>
      <c r="C105" s="2" t="s">
        <f>=HYPERLINK("https://main.knesset.gov.il/APPS/legislation/main/laws/2204306", "חוק סמכויות לאיסוף ואבחון של נתוני נוסעים הנכנסים לישראל או היוצאים ממנה, התשפ""ג-2023 ")</f>
        <v>234</v>
      </c>
      <c r="D105" t="s">
        <v>234</v>
      </c>
      <c r="E105" t="s">
        <v>10</v>
      </c>
      <c r="F105" t="s">
        <v>18</v>
      </c>
      <c r="G105" t="s">
        <v>11</v>
      </c>
      <c r="H105" t="s">
        <v>235</v>
      </c>
    </row>
    <row r="106" x14ac:dyDescent="0.25">
      <c r="A106" t="n">
        <v>25</v>
      </c>
      <c r="B106" t="s">
        <v>8</v>
      </c>
      <c r="C106" s="2" t="s">
        <f>=HYPERLINK("https://main.knesset.gov.il/APPS/legislation/main/laws/2204276", "חוק להסדרת אירוע הילולת רבי שמעון בר יוחאי בהר מירון (הוראת שעה), התשפ""ג-2023")</f>
        <v>236</v>
      </c>
      <c r="D106" t="s">
        <v>236</v>
      </c>
      <c r="E106" t="s">
        <v>77</v>
      </c>
      <c r="F106" t="s">
        <v>78</v>
      </c>
      <c r="G106" t="s">
        <v>23</v>
      </c>
      <c r="H106" t="s">
        <v>235</v>
      </c>
    </row>
    <row r="107" x14ac:dyDescent="0.25">
      <c r="A107" t="n">
        <v>25</v>
      </c>
      <c r="B107" t="s">
        <v>8</v>
      </c>
      <c r="C107" s="2" t="s">
        <f>=HYPERLINK("https://main.knesset.gov.il/APPS/legislation/main/laws/2205031", "חוק לעניין ועדות הכנסת (תיקוני חקיקה והוראת שעה), התשפ""ג-2023")</f>
        <v>237</v>
      </c>
      <c r="D107" t="s">
        <v>237</v>
      </c>
      <c r="E107" t="s">
        <v>10</v>
      </c>
      <c r="F107" t="s">
        <v>8</v>
      </c>
      <c r="G107" t="s">
        <v>238</v>
      </c>
      <c r="H107" t="s">
        <v>239</v>
      </c>
    </row>
    <row r="108" x14ac:dyDescent="0.25">
      <c r="A108" t="n">
        <v>24</v>
      </c>
      <c r="B108" t="s">
        <v>8</v>
      </c>
      <c r="C108" s="2" t="s">
        <f>=HYPERLINK("https://main.knesset.gov.il/APPS/legislation/main/laws/2194944", "חוק איסור פרסום מידע לגבי נפגעים, התשפ""ב–2022")</f>
        <v>240</v>
      </c>
      <c r="D108" t="s">
        <v>240</v>
      </c>
      <c r="E108" t="s">
        <v>10</v>
      </c>
      <c r="F108" t="s">
        <v>54</v>
      </c>
      <c r="G108" t="s">
        <v>46</v>
      </c>
      <c r="H108" t="s">
        <v>241</v>
      </c>
    </row>
    <row r="109" x14ac:dyDescent="0.25">
      <c r="A109" t="n">
        <v>24</v>
      </c>
      <c r="B109" t="s">
        <v>8</v>
      </c>
      <c r="C109" s="2" t="s">
        <f>=HYPERLINK("https://main.knesset.gov.il/APPS/legislation/main/laws/2194936", "חוק מענק סיוע לעסקים בשל ההשפעה הכלכלית של התפשטות זן אומיקרון של נגיף הקורונה החדש (הוראת שעה), התשפ""ב-2022 ")</f>
        <v>242</v>
      </c>
      <c r="D109" t="s">
        <v>242</v>
      </c>
      <c r="E109" t="s">
        <v>174</v>
      </c>
      <c r="F109" t="s">
        <v>18</v>
      </c>
      <c r="G109" t="s">
        <v>8</v>
      </c>
      <c r="H109" t="s">
        <v>243</v>
      </c>
    </row>
    <row r="110" x14ac:dyDescent="0.25">
      <c r="A110" t="n">
        <v>24</v>
      </c>
      <c r="B110" t="s">
        <v>8</v>
      </c>
      <c r="C110" s="2" t="s">
        <f>=HYPERLINK("https://main.knesset.gov.il/APPS/legislation/main/laws/2194899", "חוק שירותי רווחה לאנשים עם מוגבלות, התשפ""ב-2022 ")</f>
        <v>244</v>
      </c>
      <c r="D110" t="s">
        <v>244</v>
      </c>
      <c r="E110" t="s">
        <v>10</v>
      </c>
      <c r="F110" t="s">
        <v>74</v>
      </c>
      <c r="G110" t="s">
        <v>42</v>
      </c>
      <c r="H110" t="s">
        <v>245</v>
      </c>
    </row>
    <row r="111" x14ac:dyDescent="0.25">
      <c r="A111" t="n">
        <v>24</v>
      </c>
      <c r="B111" t="s">
        <v>8</v>
      </c>
      <c r="C111" s="2" t="s">
        <f>=HYPERLINK("https://main.knesset.gov.il/APPS/legislation/main/laws/2194869", "חוק הבחירות לכנסת העשרים וחמש (הוראות מיוחדות ותיקוני חקיקה), התשפ""ב–2022")</f>
        <v>246</v>
      </c>
      <c r="D111" t="s">
        <v>246</v>
      </c>
      <c r="E111" t="s">
        <v>10</v>
      </c>
      <c r="F111" t="s">
        <v>8</v>
      </c>
      <c r="G111" t="s">
        <v>238</v>
      </c>
      <c r="H111" t="s">
        <v>247</v>
      </c>
    </row>
    <row r="112" x14ac:dyDescent="0.25">
      <c r="A112" t="n">
        <v>24</v>
      </c>
      <c r="B112" t="s">
        <v>8</v>
      </c>
      <c r="C112" s="2" t="s">
        <f>=HYPERLINK("https://main.knesset.gov.il/APPS/legislation/main/laws/2194860", "חוק התפזרות הכנסת העשרים וארבע ומימון מפלגות, התשפ""ב-2022")</f>
        <v>248</v>
      </c>
      <c r="D112" t="s">
        <v>248</v>
      </c>
      <c r="E112" t="s">
        <v>10</v>
      </c>
      <c r="F112" t="s">
        <v>8</v>
      </c>
      <c r="G112" t="s">
        <v>238</v>
      </c>
      <c r="H112" t="s">
        <v>247</v>
      </c>
    </row>
    <row r="113" x14ac:dyDescent="0.25">
      <c r="A113" t="n">
        <v>24</v>
      </c>
      <c r="B113" t="s">
        <v>8</v>
      </c>
      <c r="C113" s="2" t="s">
        <f>=HYPERLINK("https://main.knesset.gov.il/APPS/legislation/main/laws/2191134", "חוק האזרחות והכניסה לישראל (הוראת שעה), התשפ""ב-2022 ")</f>
        <v>249</v>
      </c>
      <c r="D113" t="s">
        <v>249</v>
      </c>
      <c r="E113" t="s">
        <v>10</v>
      </c>
      <c r="F113" t="s">
        <v>114</v>
      </c>
      <c r="G113" t="s">
        <v>11</v>
      </c>
      <c r="H113" t="s">
        <v>250</v>
      </c>
    </row>
    <row r="114" x14ac:dyDescent="0.25">
      <c r="A114" t="n">
        <v>24</v>
      </c>
      <c r="B114" t="s">
        <v>8</v>
      </c>
      <c r="C114" s="2" t="s">
        <f>=HYPERLINK("https://main.knesset.gov.il/APPS/legislation/main/laws/2167180", "תקציב המדינה לשנת הכספים 2022")</f>
        <v>251</v>
      </c>
      <c r="D114" t="s">
        <v>251</v>
      </c>
      <c r="E114" t="s">
        <v>174</v>
      </c>
      <c r="F114" t="s">
        <v>18</v>
      </c>
      <c r="G114" t="s">
        <v>19</v>
      </c>
      <c r="H114" t="s">
        <v>252</v>
      </c>
    </row>
    <row r="115" x14ac:dyDescent="0.25">
      <c r="A115" t="n">
        <v>24</v>
      </c>
      <c r="B115" t="s">
        <v>8</v>
      </c>
      <c r="C115" s="2" t="s">
        <f>=HYPERLINK("https://main.knesset.gov.il/APPS/legislation/main/laws/2167179", "תקציב המדינה לשנת הכספים 2021")</f>
        <v>253</v>
      </c>
      <c r="D115" t="s">
        <v>253</v>
      </c>
      <c r="E115" t="s">
        <v>174</v>
      </c>
      <c r="F115" t="s">
        <v>18</v>
      </c>
      <c r="G115" t="s">
        <v>19</v>
      </c>
      <c r="H115" t="s">
        <v>252</v>
      </c>
    </row>
    <row r="116" x14ac:dyDescent="0.25">
      <c r="A116" t="n">
        <v>24</v>
      </c>
      <c r="B116" t="s">
        <v>8</v>
      </c>
      <c r="C116" s="2" t="s">
        <f>=HYPERLINK("https://main.knesset.gov.il/APPS/legislation/main/laws/2165295", "חוק שירות מידע פיננסי, התשפ""ב-2021")</f>
        <v>254</v>
      </c>
      <c r="D116" t="s">
        <v>254</v>
      </c>
      <c r="E116" t="s">
        <v>10</v>
      </c>
      <c r="F116" t="s">
        <v>18</v>
      </c>
      <c r="G116" t="s">
        <v>81</v>
      </c>
      <c r="H116" t="s">
        <v>255</v>
      </c>
    </row>
    <row r="117" x14ac:dyDescent="0.25">
      <c r="A117" t="n">
        <v>24</v>
      </c>
      <c r="B117" t="s">
        <v>8</v>
      </c>
      <c r="C117" s="2" t="s">
        <f>=HYPERLINK("https://main.knesset.gov.il/APPS/legislation/main/laws/2165280", "חוק מס להפחתת גודש התנועה באזור גוש דן, התשפ""ב-2021")</f>
        <v>256</v>
      </c>
      <c r="D117" t="s">
        <v>256</v>
      </c>
      <c r="E117" t="s">
        <v>10</v>
      </c>
      <c r="F117" t="s">
        <v>18</v>
      </c>
      <c r="G117" t="s">
        <v>19</v>
      </c>
      <c r="H117" t="s">
        <v>255</v>
      </c>
    </row>
    <row r="118" x14ac:dyDescent="0.25">
      <c r="A118" t="n">
        <v>24</v>
      </c>
      <c r="B118" t="s">
        <v>8</v>
      </c>
      <c r="C118" s="2" t="s">
        <f>=HYPERLINK("https://main.knesset.gov.il/APPS/legislation/main/laws/2165203", "חוק עקרונות האסדרה, התשפ""ב-2021")</f>
        <v>257</v>
      </c>
      <c r="D118" t="s">
        <v>257</v>
      </c>
      <c r="E118" t="s">
        <v>10</v>
      </c>
      <c r="F118" t="s">
        <v>64</v>
      </c>
      <c r="G118" t="s">
        <v>258</v>
      </c>
      <c r="H118" t="s">
        <v>255</v>
      </c>
    </row>
    <row r="119" x14ac:dyDescent="0.25">
      <c r="A119" t="n">
        <v>24</v>
      </c>
      <c r="B119" t="s">
        <v>8</v>
      </c>
      <c r="C119" s="2" t="s">
        <f>=HYPERLINK("https://main.knesset.gov.il/APPS/legislation/main/laws/2165189", "חוק רכבת תחתית (מטרו), התשפ""ב-2021")</f>
        <v>259</v>
      </c>
      <c r="D119" t="s">
        <v>259</v>
      </c>
      <c r="E119" t="s">
        <v>10</v>
      </c>
      <c r="F119" t="s">
        <v>144</v>
      </c>
      <c r="G119" t="s">
        <v>34</v>
      </c>
      <c r="H119" t="s">
        <v>255</v>
      </c>
    </row>
    <row r="120" x14ac:dyDescent="0.25">
      <c r="A120" t="n">
        <v>24</v>
      </c>
      <c r="B120" t="s">
        <v>8</v>
      </c>
      <c r="C120" s="2" t="s">
        <f>=HYPERLINK("https://main.knesset.gov.il/APPS/legislation/main/laws/2165156", "חוק התכנית הכלכלית (תיקוני חקיקה ליישום המדיניות הכלכלית לשנות התקציב 2021 ו-2022), התשפ""ב-2021")</f>
        <v>260</v>
      </c>
      <c r="D120" t="s">
        <v>260</v>
      </c>
      <c r="E120" t="s">
        <v>10</v>
      </c>
      <c r="F120" t="s">
        <v>18</v>
      </c>
      <c r="G120" t="s">
        <v>19</v>
      </c>
      <c r="H120" t="s">
        <v>255</v>
      </c>
    </row>
    <row r="121" x14ac:dyDescent="0.25">
      <c r="A121" t="n">
        <v>24</v>
      </c>
      <c r="B121" t="s">
        <v>8</v>
      </c>
      <c r="C121" s="2" t="s">
        <f>=HYPERLINK("https://main.knesset.gov.il/APPS/legislation/main/laws/2164883", "חוק התחשבנות בין בתי חולים ציבוריים כלליים לקופות חולים (תקצוב לאומי), התשפ""ב-2021")</f>
        <v>261</v>
      </c>
      <c r="D121" t="s">
        <v>261</v>
      </c>
      <c r="E121" t="s">
        <v>10</v>
      </c>
      <c r="F121" t="s">
        <v>45</v>
      </c>
      <c r="G121" t="s">
        <v>46</v>
      </c>
      <c r="H121" t="s">
        <v>262</v>
      </c>
    </row>
    <row r="122" x14ac:dyDescent="0.25">
      <c r="A122" t="n">
        <v>24</v>
      </c>
      <c r="B122" t="s">
        <v>8</v>
      </c>
      <c r="C122" s="2" t="s">
        <f>=HYPERLINK("https://main.knesset.gov.il/APPS/legislation/main/laws/2164882", "חוק ההתייעלות הכלכלית (תיקוני חקיקה להשגת יעדי התקציב לשנות התקציב 2021 ו-2022), התשפ""ב-2021")</f>
        <v>263</v>
      </c>
      <c r="D122" t="s">
        <v>263</v>
      </c>
      <c r="E122" t="s">
        <v>10</v>
      </c>
      <c r="F122" t="s">
        <v>18</v>
      </c>
      <c r="G122" t="s">
        <v>19</v>
      </c>
      <c r="H122" t="s">
        <v>262</v>
      </c>
    </row>
    <row r="123" x14ac:dyDescent="0.25">
      <c r="A123" t="n">
        <v>24</v>
      </c>
      <c r="B123" t="s">
        <v>8</v>
      </c>
      <c r="C123" s="2" t="s">
        <f>=HYPERLINK("https://main.knesset.gov.il/APPS/legislation/main/laws/2164160", "חוק לעניין ועדות הכנסת (תיקוני חקיקה והוראת שעה), התשפ""ב-2021")</f>
        <v>264</v>
      </c>
      <c r="D123" t="s">
        <v>264</v>
      </c>
      <c r="E123" t="s">
        <v>77</v>
      </c>
      <c r="F123" t="s">
        <v>8</v>
      </c>
      <c r="G123" t="s">
        <v>238</v>
      </c>
      <c r="H123" t="s">
        <v>265</v>
      </c>
    </row>
    <row r="124" x14ac:dyDescent="0.25">
      <c r="A124" t="n">
        <v>23</v>
      </c>
      <c r="B124" t="s">
        <v>8</v>
      </c>
      <c r="C124" s="2" t="s">
        <f>=HYPERLINK("https://main.knesset.gov.il/APPS/legislation/main/laws/2151978", "חוק דחיית מועדים לביצוע בדיקות של מיתקני גז (נגיף הקורונה החדש) (הוראת שעה), התשפ""א-2021")</f>
        <v>266</v>
      </c>
      <c r="D124" t="s">
        <v>266</v>
      </c>
      <c r="E124" t="s">
        <v>77</v>
      </c>
      <c r="F124" t="s">
        <v>267</v>
      </c>
      <c r="G124" t="s">
        <v>81</v>
      </c>
      <c r="H124" t="s">
        <v>268</v>
      </c>
    </row>
    <row r="125" x14ac:dyDescent="0.25">
      <c r="A125" t="n">
        <v>23</v>
      </c>
      <c r="B125" t="s">
        <v>8</v>
      </c>
      <c r="C125" s="2" t="s">
        <f>=HYPERLINK("https://main.knesset.gov.il/APPS/legislation/main/laws/2151714", "חוק החזר מקדמה בשל ביטול אירוע (נגיף הקורונה החדש), התשפ""א–2020")</f>
        <v>269</v>
      </c>
      <c r="D125" t="s">
        <v>269</v>
      </c>
      <c r="E125" t="s">
        <v>174</v>
      </c>
      <c r="F125" t="s">
        <v>54</v>
      </c>
      <c r="G125" t="s">
        <v>27</v>
      </c>
      <c r="H125" t="s">
        <v>270</v>
      </c>
    </row>
    <row r="126" x14ac:dyDescent="0.25">
      <c r="A126" t="n">
        <v>23</v>
      </c>
      <c r="B126" t="s">
        <v>8</v>
      </c>
      <c r="C126" s="2" t="s">
        <f>=HYPERLINK("https://main.knesset.gov.il/APPS/legislation/main/laws/2151695", "חוק הבחירות לכנסת העשרים וארבע (הוראות מיוחדות ותיקוני חקיקה), התשפ""א-2020")</f>
        <v>271</v>
      </c>
      <c r="D126" t="s">
        <v>271</v>
      </c>
      <c r="E126" t="s">
        <v>10</v>
      </c>
      <c r="F126" t="s">
        <v>8</v>
      </c>
      <c r="G126" t="s">
        <v>27</v>
      </c>
      <c r="H126" t="s">
        <v>272</v>
      </c>
    </row>
    <row r="127" x14ac:dyDescent="0.25">
      <c r="A127" t="n">
        <v>23</v>
      </c>
      <c r="B127" t="s">
        <v>8</v>
      </c>
      <c r="C127" s="2" t="s">
        <f>=HYPERLINK("https://main.knesset.gov.il/APPS/legislation/main/laws/2151346", "חוק הגז הפחמימני המעובה, התשפ""א-2020 ")</f>
        <v>273</v>
      </c>
      <c r="D127" t="s">
        <v>273</v>
      </c>
      <c r="E127" t="s">
        <v>10</v>
      </c>
      <c r="F127" t="s">
        <v>267</v>
      </c>
      <c r="G127" t="s">
        <v>81</v>
      </c>
      <c r="H127" t="s">
        <v>274</v>
      </c>
    </row>
    <row r="128" x14ac:dyDescent="0.25">
      <c r="A128" t="n">
        <v>23</v>
      </c>
      <c r="B128" t="s">
        <v>8</v>
      </c>
      <c r="C128" s="2" t="s">
        <f>=HYPERLINK("https://main.knesset.gov.il/APPS/legislation/main/laws/2149841", "חוק לביטול העדכון של שכר חברי הכנסת בשנת 2021 (הוראת שעה), התשפ""א-2020")</f>
        <v>275</v>
      </c>
      <c r="D128" t="s">
        <v>275</v>
      </c>
      <c r="E128" t="s">
        <v>10</v>
      </c>
      <c r="F128" t="s">
        <v>276</v>
      </c>
      <c r="G128" t="s">
        <v>238</v>
      </c>
      <c r="H128" t="s">
        <v>277</v>
      </c>
    </row>
    <row r="129" x14ac:dyDescent="0.25">
      <c r="A129" t="n">
        <v>23</v>
      </c>
      <c r="B129" t="s">
        <v>8</v>
      </c>
      <c r="C129" s="2" t="s">
        <f>=HYPERLINK("https://main.knesset.gov.il/APPS/legislation/main/laws/2145503", "חוק ההוצאה לפועל (הקפאת הגבלת רישיונות נהיגה) (נגיף הקורונה החדש - הוראת שעה), התש""ף-2020")</f>
        <v>278</v>
      </c>
      <c r="D129" t="s">
        <v>278</v>
      </c>
      <c r="E129" t="s">
        <v>77</v>
      </c>
      <c r="F129" t="s">
        <v>54</v>
      </c>
      <c r="G129" t="s">
        <v>27</v>
      </c>
      <c r="H129" t="s">
        <v>279</v>
      </c>
    </row>
    <row r="130" x14ac:dyDescent="0.25">
      <c r="A130" t="n">
        <v>23</v>
      </c>
      <c r="B130" t="s">
        <v>8</v>
      </c>
      <c r="C130" s="2" t="s">
        <f>=HYPERLINK("https://main.knesset.gov.il/APPS/legislation/main/laws/2145212", "חוק למתן שירותים חיוניים מרחוק (נגיף הקורונה החדש - הוראת שעה), התש""ף-2020")</f>
        <v>280</v>
      </c>
      <c r="D130" t="s">
        <v>280</v>
      </c>
      <c r="E130" t="s">
        <v>77</v>
      </c>
      <c r="F130" t="s">
        <v>54</v>
      </c>
      <c r="G130" t="s">
        <v>281</v>
      </c>
      <c r="H130" t="s">
        <v>282</v>
      </c>
    </row>
    <row r="131" x14ac:dyDescent="0.25">
      <c r="A131" t="n">
        <v>23</v>
      </c>
      <c r="B131" t="s">
        <v>8</v>
      </c>
      <c r="C131" s="2" t="s">
        <f>=HYPERLINK("https://main.knesset.gov.il/APPS/legislation/main/laws/2144696", "חוק הארכת תקופות וקיום דיונים בהיוועדות חזותית בענייני תכנון ובנייה (נגיף הקורונה החדש - הוראת שעה), התש""ף-2020 ")</f>
        <v>283</v>
      </c>
      <c r="D131" t="s">
        <v>283</v>
      </c>
      <c r="E131" t="s">
        <v>77</v>
      </c>
      <c r="F131" t="s">
        <v>114</v>
      </c>
      <c r="G131" t="s">
        <v>34</v>
      </c>
      <c r="H131" t="s">
        <v>284</v>
      </c>
    </row>
    <row r="132" x14ac:dyDescent="0.25">
      <c r="A132" t="n">
        <v>23</v>
      </c>
      <c r="B132" t="s">
        <v>8</v>
      </c>
      <c r="C132" s="2" t="s">
        <f>=HYPERLINK("https://main.knesset.gov.il/APPS/legislation/main/laws/2144695", "חוק קיום דיונים בהיוועדות חזותית בהשתתפות עצורים, אסירים וכלואים בתקופת התפשטות נגיף הקורונה החדש (הוראת שעה), התש""ף-2020")</f>
        <v>285</v>
      </c>
      <c r="D132" t="s">
        <v>285</v>
      </c>
      <c r="E132" t="s">
        <v>77</v>
      </c>
      <c r="F132" t="s">
        <v>57</v>
      </c>
      <c r="G132" t="s">
        <v>27</v>
      </c>
      <c r="H132" t="s">
        <v>284</v>
      </c>
    </row>
    <row r="133" x14ac:dyDescent="0.25">
      <c r="A133" t="n">
        <v>23</v>
      </c>
      <c r="B133" t="s">
        <v>8</v>
      </c>
      <c r="C133" s="2" t="s">
        <f>=HYPERLINK("https://main.knesset.gov.il/APPS/legislation/main/laws/2143999", "חוק התכנית לסיוע כלכלי (נגיף הקורונה החדש – מענק חד-פעמי) (הוראת שעה ותיקוני חקיקה), התש""ף-2020 ")</f>
        <v>286</v>
      </c>
      <c r="D133" t="s">
        <v>286</v>
      </c>
      <c r="E133" t="s">
        <v>174</v>
      </c>
      <c r="F133" t="s">
        <v>18</v>
      </c>
      <c r="G133" t="s">
        <v>19</v>
      </c>
      <c r="H133" t="s">
        <v>287</v>
      </c>
    </row>
    <row r="134" x14ac:dyDescent="0.25">
      <c r="A134" t="n">
        <v>23</v>
      </c>
      <c r="B134" t="s">
        <v>8</v>
      </c>
      <c r="C134" s="2" t="s">
        <f>=HYPERLINK("https://main.knesset.gov.il/APPS/legislation/main/laws/2143895", "חוק התכנית לסיוע כלכלי (נגיף הקורונה החדש) (הוראת שעה), התש""ף-2020")</f>
        <v>288</v>
      </c>
      <c r="D134" t="s">
        <v>288</v>
      </c>
      <c r="E134" t="s">
        <v>10</v>
      </c>
      <c r="F134" t="s">
        <v>18</v>
      </c>
      <c r="G134" t="s">
        <v>19</v>
      </c>
      <c r="H134" t="s">
        <v>287</v>
      </c>
    </row>
    <row r="135" x14ac:dyDescent="0.25">
      <c r="A135" t="n">
        <v>23</v>
      </c>
      <c r="B135" t="s">
        <v>8</v>
      </c>
      <c r="C135" s="2" t="s">
        <f>=HYPERLINK("https://main.knesset.gov.il/APPS/legislation/main/laws/2143516", "חוק סמכויות מיוחדות להתמודדות עם נגיף הקורונה החדש (הוראת שעה), התש""ף-2020")</f>
        <v>289</v>
      </c>
      <c r="D135" t="s">
        <v>289</v>
      </c>
      <c r="E135" t="s">
        <v>77</v>
      </c>
      <c r="F135" t="s">
        <v>290</v>
      </c>
      <c r="G135" t="s">
        <v>27</v>
      </c>
      <c r="H135" t="s">
        <v>291</v>
      </c>
    </row>
    <row r="136" x14ac:dyDescent="0.25">
      <c r="A136" t="n">
        <v>23</v>
      </c>
      <c r="B136" t="s">
        <v>8</v>
      </c>
      <c r="C136" s="2" t="s">
        <f>=HYPERLINK("https://main.knesset.gov.il/APPS/legislation/main/laws/2143534", "חוק הארכת תקופות ודחיית מועדים בענייני הליכי מס ומענקי סיוע (נגיף הקורונה החדש – הוראת שעה – תיקוני חקיקה), התש""ף–2020 ")</f>
        <v>292</v>
      </c>
      <c r="D136" t="s">
        <v>292</v>
      </c>
      <c r="E136" t="s">
        <v>10</v>
      </c>
      <c r="F136" t="s">
        <v>18</v>
      </c>
      <c r="G136" t="s">
        <v>19</v>
      </c>
      <c r="H136" t="s">
        <v>293</v>
      </c>
    </row>
    <row r="137" x14ac:dyDescent="0.25">
      <c r="A137" t="n">
        <v>23</v>
      </c>
      <c r="B137" t="s">
        <v>8</v>
      </c>
      <c r="C137" s="2" t="s">
        <f>=HYPERLINK("https://main.knesset.gov.il/APPS/legislation/main/laws/2142224", "חוק סמכויות מיוחדות להתמודדות עם נגיף הקורונה החדש (צווי סגירה מינהליים) (הוראת שעה), התש""ף–2020")</f>
        <v>294</v>
      </c>
      <c r="D137" t="s">
        <v>294</v>
      </c>
      <c r="E137" t="s">
        <v>77</v>
      </c>
      <c r="F137" t="s">
        <v>52</v>
      </c>
      <c r="G137" t="s">
        <v>8</v>
      </c>
      <c r="H137" t="s">
        <v>295</v>
      </c>
    </row>
    <row r="138" x14ac:dyDescent="0.25">
      <c r="A138" t="n">
        <v>23</v>
      </c>
      <c r="B138" t="s">
        <v>8</v>
      </c>
      <c r="C138" s="2" t="s">
        <f>=HYPERLINK("https://main.knesset.gov.il/APPS/legislation/main/laws/2142135", "חוק הסמכת שירות הביטחון הכללי לסייע במאמץ הלאומי לצמצום התפשטות נגיף הקורונה החדש וקידום השימוש בטכנולוגיה אזרחית לאיתור מי שהיו במגע קרוב עם חולים (הוראת שעה), התש""ף-2020")</f>
        <v>296</v>
      </c>
      <c r="D138" t="s">
        <v>296</v>
      </c>
      <c r="E138" t="s">
        <v>10</v>
      </c>
      <c r="F138" t="s">
        <v>64</v>
      </c>
      <c r="G138" t="s">
        <v>11</v>
      </c>
      <c r="H138" t="s">
        <v>297</v>
      </c>
    </row>
    <row r="139" x14ac:dyDescent="0.25">
      <c r="A139" t="n">
        <v>23</v>
      </c>
      <c r="B139" t="s">
        <v>8</v>
      </c>
      <c r="C139" s="2" t="s">
        <f>=HYPERLINK("https://main.knesset.gov.il/APPS/legislation/main/laws/2142072", "חוק מענק מיוחד לבני 67 ומעלה (הוראת שעה – מקרים מיוחדים), התש""ף-2020 ")</f>
        <v>298</v>
      </c>
      <c r="D139" t="s">
        <v>298</v>
      </c>
      <c r="E139" t="s">
        <v>10</v>
      </c>
      <c r="F139" t="s">
        <v>18</v>
      </c>
      <c r="G139" t="s">
        <v>42</v>
      </c>
      <c r="H139" t="s">
        <v>299</v>
      </c>
    </row>
    <row r="140" x14ac:dyDescent="0.25">
      <c r="A140" t="n">
        <v>23</v>
      </c>
      <c r="B140" t="s">
        <v>8</v>
      </c>
      <c r="C140" s="2" t="s">
        <f>=HYPERLINK("https://main.knesset.gov.il/APPS/legislation/main/laws/2141933", "חוק הארכת תקופות (הוראת שעה – נגיף הקורונה החדש) (אישורים רגולטוריים), התש""ף-2020")</f>
        <v>300</v>
      </c>
      <c r="D140" t="s">
        <v>300</v>
      </c>
      <c r="E140" t="s">
        <v>174</v>
      </c>
      <c r="F140" t="s">
        <v>52</v>
      </c>
      <c r="G140" t="s">
        <v>27</v>
      </c>
      <c r="H140" t="s">
        <v>299</v>
      </c>
    </row>
    <row r="141" x14ac:dyDescent="0.25">
      <c r="A141" t="n">
        <v>23</v>
      </c>
      <c r="B141" t="s">
        <v>8</v>
      </c>
      <c r="C141" s="2" t="s">
        <f>=HYPERLINK("https://main.knesset.gov.il/APPS/legislation/main/laws/2141014", "חוק מענק לעידוד תעסוקה (הוראת שעה – נגיף הקורונה החדש), התש""ף-2020")</f>
        <v>301</v>
      </c>
      <c r="D141" t="s">
        <v>301</v>
      </c>
      <c r="E141" t="s">
        <v>174</v>
      </c>
      <c r="F141" t="s">
        <v>18</v>
      </c>
      <c r="G141" t="s">
        <v>19</v>
      </c>
      <c r="H141" t="s">
        <v>302</v>
      </c>
    </row>
    <row r="142" x14ac:dyDescent="0.25">
      <c r="A142" t="n">
        <v>23</v>
      </c>
      <c r="B142" t="s">
        <v>8</v>
      </c>
      <c r="C142" s="2" t="s">
        <f>=HYPERLINK("https://main.knesset.gov.il/APPS/legislation/main/laws/2140923", "תקנות שעת חירום (נגיף הקורונה החדש) (נוכחות עצורים ואסירים בדיונים בבתי המשפט ובבתי הדין), התש""ף-2020")</f>
        <v>303</v>
      </c>
      <c r="D142" t="s">
        <v>303</v>
      </c>
      <c r="E142" t="s">
        <v>77</v>
      </c>
      <c r="F142" t="s">
        <v>52</v>
      </c>
      <c r="G142" t="s">
        <v>8</v>
      </c>
      <c r="H142" t="s">
        <v>304</v>
      </c>
    </row>
    <row r="143" x14ac:dyDescent="0.25">
      <c r="A143" t="n">
        <v>23</v>
      </c>
      <c r="B143" t="s">
        <v>8</v>
      </c>
      <c r="C143" s="2" t="s">
        <f>=HYPERLINK("https://main.knesset.gov.il/APPS/legislation/main/laws/2142223", "תקנות שעת חירום (נגיף הקורונה החדש) (אזור מוגבל), התש""ף-2020")</f>
        <v>305</v>
      </c>
      <c r="D143" t="s">
        <v>305</v>
      </c>
      <c r="E143" t="s">
        <v>77</v>
      </c>
      <c r="F143" t="s">
        <v>52</v>
      </c>
      <c r="G143" t="s">
        <v>8</v>
      </c>
      <c r="H143" t="s">
        <v>306</v>
      </c>
    </row>
    <row r="144" x14ac:dyDescent="0.25">
      <c r="A144" t="n">
        <v>23</v>
      </c>
      <c r="B144" t="s">
        <v>8</v>
      </c>
      <c r="C144" s="2" t="s">
        <f>=HYPERLINK("https://main.knesset.gov.il/APPS/legislation/main/laws/2142220", "תקנות שעת חירום (נגיף הקורונה החדש) (בידוד במקום לבידוד מטעם המדינה), התש""ף-2020")</f>
        <v>307</v>
      </c>
      <c r="D144" t="s">
        <v>307</v>
      </c>
      <c r="E144" t="s">
        <v>77</v>
      </c>
      <c r="F144" t="s">
        <v>52</v>
      </c>
      <c r="G144" t="s">
        <v>8</v>
      </c>
      <c r="H144" t="s">
        <v>306</v>
      </c>
    </row>
    <row r="145" x14ac:dyDescent="0.25">
      <c r="A145" t="n">
        <v>23</v>
      </c>
      <c r="B145" t="s">
        <v>8</v>
      </c>
      <c r="C145" s="2" t="s">
        <f>=HYPERLINK("https://main.knesset.gov.il/APPS/legislation/main/laws/2140935", "תקנות שעת חירום (נגיף הקורונה החדש) (קיום דיונים בהליכים פליליים באמצעים טכנולוגיים בבתי הדין הצבאיים), התש""ף-2020")</f>
        <v>308</v>
      </c>
      <c r="D145" t="s">
        <v>308</v>
      </c>
      <c r="E145" t="s">
        <v>77</v>
      </c>
      <c r="F145" t="s">
        <v>52</v>
      </c>
      <c r="G145" t="s">
        <v>8</v>
      </c>
      <c r="H145" t="s">
        <v>309</v>
      </c>
    </row>
    <row r="146" x14ac:dyDescent="0.25">
      <c r="A146" t="n">
        <v>23</v>
      </c>
      <c r="B146" t="s">
        <v>8</v>
      </c>
      <c r="C146" s="2" t="s">
        <f>=HYPERLINK("https://main.knesset.gov.il/APPS/legislation/main/laws/2142143", "תקנות שעת חירום (נגיף הקורונה החדש) (דיוני הוועדה לעיון בעונש), התש""ף-2020")</f>
        <v>310</v>
      </c>
      <c r="D146" t="s">
        <v>310</v>
      </c>
      <c r="E146" t="s">
        <v>77</v>
      </c>
      <c r="F146" t="s">
        <v>52</v>
      </c>
      <c r="G146" t="s">
        <v>8</v>
      </c>
      <c r="H146" t="s">
        <v>311</v>
      </c>
    </row>
    <row r="147" x14ac:dyDescent="0.25">
      <c r="A147" t="n">
        <v>23</v>
      </c>
      <c r="B147" t="s">
        <v>8</v>
      </c>
      <c r="C147" s="2" t="s">
        <f>=HYPERLINK("https://main.knesset.gov.il/APPS/legislation/main/laws/2142141", "תקנות שעת חירום (דיוני ועדות שחרורים), התש""ף-2020")</f>
        <v>312</v>
      </c>
      <c r="D147" t="s">
        <v>312</v>
      </c>
      <c r="E147" t="s">
        <v>77</v>
      </c>
      <c r="F147" t="s">
        <v>52</v>
      </c>
      <c r="G147" t="s">
        <v>8</v>
      </c>
      <c r="H147" t="s">
        <v>311</v>
      </c>
    </row>
    <row r="148" x14ac:dyDescent="0.25">
      <c r="A148" t="n">
        <v>23</v>
      </c>
      <c r="B148" t="s">
        <v>8</v>
      </c>
      <c r="C148" s="2" t="s">
        <f>=HYPERLINK("https://main.knesset.gov.il/APPS/legislation/main/laws/2140931", "תקנות שעת חירום (נגיף הקורונה החדש) (קיום דיונים בהליכים פליליים באמצעים טכנולוגיים), התש""ף-2020")</f>
        <v>313</v>
      </c>
      <c r="D148" t="s">
        <v>313</v>
      </c>
      <c r="E148" t="s">
        <v>77</v>
      </c>
      <c r="F148" t="s">
        <v>52</v>
      </c>
      <c r="G148" t="s">
        <v>8</v>
      </c>
      <c r="H148" t="s">
        <v>314</v>
      </c>
    </row>
    <row r="149" x14ac:dyDescent="0.25">
      <c r="A149" t="n">
        <v>23</v>
      </c>
      <c r="B149" t="s">
        <v>8</v>
      </c>
      <c r="C149" s="2" t="s">
        <f>=HYPERLINK("https://main.knesset.gov.il/APPS/legislation/main/laws/2141342", "תקנות שעת חירום (הגבלת מספר העובדים במקום עבודה לשם צמצום התפשטות נגיף הקורונה החדש), התש""ף-2020 ")</f>
        <v>315</v>
      </c>
      <c r="D149" t="s">
        <v>315</v>
      </c>
      <c r="E149" t="s">
        <v>77</v>
      </c>
      <c r="F149" t="s">
        <v>52</v>
      </c>
      <c r="G149" t="s">
        <v>8</v>
      </c>
      <c r="H149" t="s">
        <v>316</v>
      </c>
    </row>
    <row r="150" x14ac:dyDescent="0.25">
      <c r="A150" t="n">
        <v>23</v>
      </c>
      <c r="B150" t="s">
        <v>8</v>
      </c>
      <c r="C150" s="2" t="s">
        <f>=HYPERLINK("https://main.knesset.gov.il/APPS/legislation/main/laws/2141344", "תקנות שעת חירום (נגיף הקורונה החדש - הגבלת פעילות), התש""ף-2020")</f>
        <v>317</v>
      </c>
      <c r="D150" t="s">
        <v>317</v>
      </c>
      <c r="E150" t="s">
        <v>77</v>
      </c>
      <c r="F150" t="s">
        <v>52</v>
      </c>
      <c r="G150" t="s">
        <v>8</v>
      </c>
      <c r="H150" t="s">
        <v>318</v>
      </c>
    </row>
    <row r="151" x14ac:dyDescent="0.25">
      <c r="A151" t="n">
        <v>23</v>
      </c>
      <c r="B151" t="s">
        <v>8</v>
      </c>
      <c r="C151" s="2" t="s">
        <f>=HYPERLINK("https://main.knesset.gov.il/APPS/legislation/main/laws/2140933", "תקנות שעת חירום (דיוני מעצר בבתי הדין הצבאיים), התש""ף-2020")</f>
        <v>319</v>
      </c>
      <c r="D151" t="s">
        <v>319</v>
      </c>
      <c r="E151" t="s">
        <v>77</v>
      </c>
      <c r="F151" t="s">
        <v>52</v>
      </c>
      <c r="G151" t="s">
        <v>8</v>
      </c>
      <c r="H151" t="s">
        <v>320</v>
      </c>
    </row>
    <row r="152" x14ac:dyDescent="0.25">
      <c r="A152" t="n">
        <v>23</v>
      </c>
      <c r="B152" t="s">
        <v>8</v>
      </c>
      <c r="C152" s="2" t="s">
        <f>=HYPERLINK("https://main.knesset.gov.il/APPS/legislation/main/laws/2141098", "תקנות שעת חירום (נגיף הקורונה החדש - אכיפה), התש""ף-2020")</f>
        <v>321</v>
      </c>
      <c r="D152" t="s">
        <v>321</v>
      </c>
      <c r="E152" t="s">
        <v>77</v>
      </c>
      <c r="F152" t="s">
        <v>52</v>
      </c>
      <c r="G152" t="s">
        <v>8</v>
      </c>
      <c r="H152" t="s">
        <v>322</v>
      </c>
    </row>
    <row r="153" x14ac:dyDescent="0.25">
      <c r="A153" t="n">
        <v>23</v>
      </c>
      <c r="B153" t="s">
        <v>8</v>
      </c>
      <c r="C153" s="2" t="s">
        <f>=HYPERLINK("https://main.knesset.gov.il/APPS/legislation/main/laws/2140927", "תקנות שעת חירום (דיוני מעצרים), התש""ף-2020")</f>
        <v>323</v>
      </c>
      <c r="D153" t="s">
        <v>323</v>
      </c>
      <c r="E153" t="s">
        <v>77</v>
      </c>
      <c r="F153" t="s">
        <v>52</v>
      </c>
      <c r="G153" t="s">
        <v>8</v>
      </c>
      <c r="H153" t="s">
        <v>322</v>
      </c>
    </row>
    <row r="154" x14ac:dyDescent="0.25">
      <c r="A154" t="n">
        <v>22</v>
      </c>
      <c r="B154" t="s">
        <v>8</v>
      </c>
      <c r="C154" s="2" t="s">
        <f>=HYPERLINK("https://main.knesset.gov.il/APPS/legislation/main/laws/2084504", "חוק הבחירות לכנסת העשרים ושלוש (הוראות מיוחדות), התש""ף–2019")</f>
        <v>324</v>
      </c>
      <c r="D154" t="s">
        <v>324</v>
      </c>
      <c r="E154" t="s">
        <v>174</v>
      </c>
      <c r="F154" t="s">
        <v>8</v>
      </c>
      <c r="G154" t="s">
        <v>27</v>
      </c>
      <c r="H154" t="s">
        <v>325</v>
      </c>
    </row>
    <row r="155" x14ac:dyDescent="0.25">
      <c r="A155" t="n">
        <v>22</v>
      </c>
      <c r="B155" t="s">
        <v>8</v>
      </c>
      <c r="C155" s="2" t="s">
        <f>=HYPERLINK("https://main.knesset.gov.il/APPS/legislation/main/laws/2084503", "חוק התפזרות הכנסת העשרים ושתיים והקדמת הבחירות, התש""ף–2019")</f>
        <v>326</v>
      </c>
      <c r="D155" t="s">
        <v>326</v>
      </c>
      <c r="E155" t="s">
        <v>174</v>
      </c>
      <c r="F155" t="s">
        <v>8</v>
      </c>
      <c r="G155" t="s">
        <v>27</v>
      </c>
      <c r="H155" t="s">
        <v>325</v>
      </c>
    </row>
    <row r="156" x14ac:dyDescent="0.25">
      <c r="A156" t="n">
        <v>21</v>
      </c>
      <c r="B156" t="s">
        <v>8</v>
      </c>
      <c r="C156" s="2" t="s">
        <f>=HYPERLINK("https://main.knesset.gov.il/APPS/legislation/main/laws/2080862", "חוק הבחירות לכנסת העשרים ושתיים (הוראות מיוחדות לעניין ועדת הבחירות), התשע""ט-2019")</f>
        <v>327</v>
      </c>
      <c r="D156" t="s">
        <v>327</v>
      </c>
      <c r="E156" t="s">
        <v>174</v>
      </c>
      <c r="F156" t="s">
        <v>8</v>
      </c>
      <c r="G156" t="s">
        <v>27</v>
      </c>
      <c r="H156" t="s">
        <v>328</v>
      </c>
    </row>
    <row r="157" x14ac:dyDescent="0.25">
      <c r="A157" t="n">
        <v>21</v>
      </c>
      <c r="B157" t="s">
        <v>8</v>
      </c>
      <c r="C157" s="2" t="s">
        <f>=HYPERLINK("https://main.knesset.gov.il/APPS/legislation/main/laws/2080774", "חוק התפזרות הכנסת העשרים ואחת, התשע""ט-2019")</f>
        <v>329</v>
      </c>
      <c r="D157" t="s">
        <v>329</v>
      </c>
      <c r="E157" t="s">
        <v>174</v>
      </c>
      <c r="F157" t="s">
        <v>8</v>
      </c>
      <c r="G157" t="s">
        <v>27</v>
      </c>
      <c r="H157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2026-06-14T11:57:43.466Z</dcterms:created>
  <dcterms:modified xsi:type="dcterms:W3CDTF">2026-06-14T11:57:43.466Z</dcterms:modified>
</cp:coreProperties>
</file>